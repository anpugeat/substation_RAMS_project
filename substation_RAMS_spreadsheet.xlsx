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pugeat/Desktop/"/>
    </mc:Choice>
  </mc:AlternateContent>
  <xr:revisionPtr revIDLastSave="0" documentId="8_{FE636D9C-83ED-7D46-9C67-160F89065A92}" xr6:coauthVersionLast="47" xr6:coauthVersionMax="47" xr10:uidLastSave="{00000000-0000-0000-0000-000000000000}"/>
  <bookViews>
    <workbookView xWindow="1060" yWindow="500" windowWidth="27740" windowHeight="17500" xr2:uid="{EA0C8D68-55B9-B649-AF35-641289F10B14}"/>
  </bookViews>
  <sheets>
    <sheet name="Substation SE Figures" sheetId="2" r:id="rId1"/>
    <sheet name="Permutations Analys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2" l="1"/>
  <c r="M33" i="2"/>
  <c r="H31" i="2"/>
  <c r="G31" i="2"/>
  <c r="E32" i="2"/>
  <c r="E31" i="2"/>
  <c r="AJ11" i="2"/>
  <c r="AI11" i="2"/>
  <c r="R11" i="2"/>
  <c r="S11" i="2"/>
  <c r="J11" i="2"/>
  <c r="L31" i="2"/>
  <c r="H34" i="2"/>
  <c r="H33" i="2"/>
  <c r="H32" i="2"/>
  <c r="P32" i="2"/>
  <c r="P33" i="2"/>
  <c r="P34" i="2"/>
  <c r="P31" i="2"/>
  <c r="N33" i="2"/>
  <c r="N32" i="2"/>
  <c r="J35" i="2"/>
  <c r="I35" i="2"/>
  <c r="H35" i="2"/>
  <c r="D34" i="2"/>
  <c r="C34" i="2"/>
  <c r="C35" i="2"/>
  <c r="D35" i="2"/>
  <c r="E35" i="2"/>
  <c r="C33" i="2"/>
  <c r="C32" i="2"/>
  <c r="C31" i="2"/>
  <c r="D33" i="2"/>
  <c r="D32" i="2"/>
  <c r="D31" i="2"/>
  <c r="E5" i="3"/>
  <c r="R5" i="3" s="1"/>
  <c r="E6" i="3"/>
  <c r="I6" i="3" s="1"/>
  <c r="E7" i="3"/>
  <c r="R7" i="3" s="1"/>
  <c r="E8" i="3"/>
  <c r="K8" i="3" s="1"/>
  <c r="E9" i="3"/>
  <c r="M9" i="3" s="1"/>
  <c r="E10" i="3"/>
  <c r="F10" i="3" s="1"/>
  <c r="E11" i="3"/>
  <c r="N11" i="3" s="1"/>
  <c r="E12" i="3"/>
  <c r="F12" i="3" s="1"/>
  <c r="E13" i="3"/>
  <c r="M13" i="3" s="1"/>
  <c r="E4" i="3"/>
  <c r="H4" i="3" s="1"/>
  <c r="K15" i="2"/>
  <c r="J15" i="2"/>
  <c r="AI15" i="2"/>
  <c r="E19" i="3" s="1"/>
  <c r="AI13" i="2"/>
  <c r="E17" i="3" s="1"/>
  <c r="AF12" i="2"/>
  <c r="AI12" i="2" s="1"/>
  <c r="E16" i="3" s="1"/>
  <c r="U16" i="3" s="1"/>
  <c r="AI16" i="2"/>
  <c r="E20" i="3" s="1"/>
  <c r="AI20" i="2"/>
  <c r="E24" i="3" s="1"/>
  <c r="Q24" i="3" s="1"/>
  <c r="AI18" i="2"/>
  <c r="E22" i="3" s="1"/>
  <c r="AI14" i="2"/>
  <c r="E18" i="3" s="1"/>
  <c r="U18" i="3" s="1"/>
  <c r="AI17" i="2"/>
  <c r="E21" i="3" s="1"/>
  <c r="K21" i="3" s="1"/>
  <c r="AI19" i="2"/>
  <c r="E23" i="3" s="1"/>
  <c r="L23" i="3" s="1"/>
  <c r="R20" i="2"/>
  <c r="R18" i="2"/>
  <c r="R16" i="2"/>
  <c r="R14" i="2"/>
  <c r="R12" i="2"/>
  <c r="R13" i="2"/>
  <c r="R15" i="2"/>
  <c r="R17" i="2"/>
  <c r="R19" i="2"/>
  <c r="Q12" i="2"/>
  <c r="Q13" i="2"/>
  <c r="Q14" i="2"/>
  <c r="Q15" i="2"/>
  <c r="Q16" i="2"/>
  <c r="Q17" i="2"/>
  <c r="S17" i="2" s="1"/>
  <c r="Q18" i="2"/>
  <c r="Q19" i="2"/>
  <c r="Q20" i="2"/>
  <c r="Q11" i="2"/>
  <c r="K12" i="2"/>
  <c r="K20" i="2"/>
  <c r="K18" i="2"/>
  <c r="K16" i="2"/>
  <c r="K14" i="2"/>
  <c r="K13" i="2"/>
  <c r="K17" i="2"/>
  <c r="K19" i="2"/>
  <c r="K11" i="2"/>
  <c r="AF11" i="2"/>
  <c r="E15" i="3" s="1"/>
  <c r="AG11" i="2"/>
  <c r="AG16" i="2"/>
  <c r="AG15" i="2"/>
  <c r="AC14" i="2"/>
  <c r="AG14" i="2" s="1"/>
  <c r="AC13" i="2"/>
  <c r="AG13" i="2" s="1"/>
  <c r="J12" i="2"/>
  <c r="J13" i="2"/>
  <c r="J14" i="2"/>
  <c r="J16" i="2"/>
  <c r="J17" i="2"/>
  <c r="J18" i="2"/>
  <c r="J19" i="2"/>
  <c r="J20" i="2"/>
  <c r="O5" i="3" l="1"/>
  <c r="Q5" i="3"/>
  <c r="J4" i="3"/>
  <c r="G4" i="3"/>
  <c r="N6" i="3"/>
  <c r="S13" i="3"/>
  <c r="S15" i="2"/>
  <c r="L15" i="2"/>
  <c r="M15" i="2" s="1"/>
  <c r="S14" i="2"/>
  <c r="T14" i="2" s="1"/>
  <c r="R8" i="3"/>
  <c r="O8" i="3"/>
  <c r="L12" i="2"/>
  <c r="M12" i="2" s="1"/>
  <c r="S20" i="2"/>
  <c r="T20" i="2" s="1"/>
  <c r="G10" i="3"/>
  <c r="U22" i="3"/>
  <c r="R22" i="3"/>
  <c r="T22" i="3"/>
  <c r="O17" i="3"/>
  <c r="G17" i="3"/>
  <c r="H17" i="3"/>
  <c r="S19" i="3"/>
  <c r="F19" i="3"/>
  <c r="K19" i="3"/>
  <c r="N19" i="3"/>
  <c r="G19" i="3"/>
  <c r="J19" i="3"/>
  <c r="G15" i="3"/>
  <c r="F15" i="3"/>
  <c r="M20" i="3"/>
  <c r="I20" i="3"/>
  <c r="L20" i="2"/>
  <c r="M20" i="2" s="1"/>
  <c r="L17" i="2"/>
  <c r="M17" i="2" s="1"/>
  <c r="S13" i="2"/>
  <c r="T13" i="2" s="1"/>
  <c r="S16" i="2"/>
  <c r="L16" i="2"/>
  <c r="M16" i="2" s="1"/>
  <c r="P6" i="3"/>
  <c r="P9" i="3"/>
  <c r="S7" i="3"/>
  <c r="L18" i="3"/>
  <c r="L15" i="3"/>
  <c r="J18" i="3"/>
  <c r="M18" i="3"/>
  <c r="M15" i="3"/>
  <c r="K15" i="3"/>
  <c r="U7" i="3"/>
  <c r="J15" i="3"/>
  <c r="F4" i="3"/>
  <c r="G6" i="3"/>
  <c r="F8" i="3"/>
  <c r="F17" i="3"/>
  <c r="K24" i="3"/>
  <c r="O6" i="3"/>
  <c r="S8" i="3"/>
  <c r="N17" i="3"/>
  <c r="Q6" i="3"/>
  <c r="F6" i="3"/>
  <c r="Q9" i="3"/>
  <c r="H6" i="3"/>
  <c r="U9" i="3"/>
  <c r="M4" i="3"/>
  <c r="N8" i="3"/>
  <c r="O13" i="3"/>
  <c r="I17" i="3"/>
  <c r="P5" i="3"/>
  <c r="T7" i="3"/>
  <c r="Q13" i="3"/>
  <c r="N16" i="3"/>
  <c r="S22" i="3"/>
  <c r="M24" i="3"/>
  <c r="N5" i="3"/>
  <c r="J7" i="3"/>
  <c r="U13" i="3"/>
  <c r="S16" i="3"/>
  <c r="Q22" i="3"/>
  <c r="S24" i="3"/>
  <c r="U5" i="3"/>
  <c r="K7" i="3"/>
  <c r="G13" i="3"/>
  <c r="R16" i="3"/>
  <c r="P22" i="3"/>
  <c r="U24" i="3"/>
  <c r="T5" i="3"/>
  <c r="L7" i="3"/>
  <c r="I13" i="3"/>
  <c r="Q16" i="3"/>
  <c r="O22" i="3"/>
  <c r="S5" i="3"/>
  <c r="M7" i="3"/>
  <c r="K13" i="3"/>
  <c r="P16" i="3"/>
  <c r="N22" i="3"/>
  <c r="G24" i="3"/>
  <c r="T16" i="3"/>
  <c r="O24" i="3"/>
  <c r="O16" i="3"/>
  <c r="I24" i="3"/>
  <c r="P20" i="3"/>
  <c r="G21" i="3"/>
  <c r="T9" i="3"/>
  <c r="K18" i="3"/>
  <c r="Q20" i="3"/>
  <c r="R18" i="3"/>
  <c r="U20" i="3"/>
  <c r="G8" i="3"/>
  <c r="I9" i="3"/>
  <c r="U11" i="3"/>
  <c r="I15" i="3"/>
  <c r="Q17" i="3"/>
  <c r="S18" i="3"/>
  <c r="O19" i="3"/>
  <c r="M21" i="3"/>
  <c r="H21" i="3"/>
  <c r="T20" i="3"/>
  <c r="H9" i="3"/>
  <c r="J8" i="3"/>
  <c r="L9" i="3"/>
  <c r="T11" i="3"/>
  <c r="H15" i="3"/>
  <c r="P17" i="3"/>
  <c r="T18" i="3"/>
  <c r="R19" i="3"/>
  <c r="J21" i="3"/>
  <c r="S11" i="3"/>
  <c r="I21" i="3"/>
  <c r="H10" i="3"/>
  <c r="J10" i="3"/>
  <c r="R11" i="3"/>
  <c r="K10" i="3"/>
  <c r="Q11" i="3"/>
  <c r="I10" i="3"/>
  <c r="L10" i="3"/>
  <c r="P11" i="3"/>
  <c r="M10" i="3"/>
  <c r="O11" i="3"/>
  <c r="L4" i="3"/>
  <c r="K4" i="3"/>
  <c r="I4" i="3"/>
  <c r="P23" i="3"/>
  <c r="R23" i="3"/>
  <c r="T23" i="3"/>
  <c r="H20" i="3"/>
  <c r="F21" i="3"/>
  <c r="F23" i="3"/>
  <c r="H23" i="3"/>
  <c r="N23" i="3"/>
  <c r="L20" i="3"/>
  <c r="L21" i="3"/>
  <c r="J23" i="3"/>
  <c r="S12" i="2"/>
  <c r="U12" i="2" s="1"/>
  <c r="S19" i="2"/>
  <c r="T19" i="2" s="1"/>
  <c r="L19" i="2"/>
  <c r="M19" i="2" s="1"/>
  <c r="S18" i="2"/>
  <c r="T18" i="2" s="1"/>
  <c r="L14" i="2"/>
  <c r="M14" i="2" s="1"/>
  <c r="L13" i="2"/>
  <c r="M13" i="2" s="1"/>
  <c r="L18" i="2"/>
  <c r="M18" i="2" s="1"/>
  <c r="T17" i="2"/>
  <c r="L11" i="2"/>
  <c r="M11" i="2" s="1"/>
  <c r="V14" i="2" l="1"/>
  <c r="AJ14" i="2" s="1"/>
  <c r="U15" i="2"/>
  <c r="T15" i="2"/>
  <c r="V15" i="2" s="1"/>
  <c r="AJ15" i="2" s="1"/>
  <c r="AK15" i="2" s="1"/>
  <c r="N14" i="3"/>
  <c r="R14" i="3"/>
  <c r="G14" i="3"/>
  <c r="T12" i="2"/>
  <c r="V12" i="2" s="1"/>
  <c r="S14" i="3"/>
  <c r="U17" i="2"/>
  <c r="V13" i="2"/>
  <c r="AJ13" i="2" s="1"/>
  <c r="U16" i="2"/>
  <c r="V17" i="2"/>
  <c r="AJ17" i="2" s="1"/>
  <c r="E32" i="3" s="1"/>
  <c r="T16" i="2"/>
  <c r="V16" i="2" s="1"/>
  <c r="AJ16" i="2" s="1"/>
  <c r="AK16" i="2" s="1"/>
  <c r="S25" i="3"/>
  <c r="H25" i="3"/>
  <c r="O25" i="3"/>
  <c r="F14" i="3"/>
  <c r="U11" i="2"/>
  <c r="O14" i="3"/>
  <c r="E30" i="3"/>
  <c r="V20" i="2"/>
  <c r="AJ20" i="2" s="1"/>
  <c r="AK14" i="2"/>
  <c r="E29" i="3"/>
  <c r="K25" i="3"/>
  <c r="Q14" i="3"/>
  <c r="U20" i="2"/>
  <c r="T11" i="2"/>
  <c r="V11" i="2" s="1"/>
  <c r="V18" i="2"/>
  <c r="AJ18" i="2" s="1"/>
  <c r="U25" i="3"/>
  <c r="J25" i="3"/>
  <c r="M14" i="3"/>
  <c r="Q25" i="3"/>
  <c r="J14" i="3"/>
  <c r="H14" i="3"/>
  <c r="G25" i="3"/>
  <c r="U14" i="3"/>
  <c r="N25" i="3"/>
  <c r="P25" i="3"/>
  <c r="I14" i="3"/>
  <c r="P14" i="3"/>
  <c r="T25" i="3"/>
  <c r="L14" i="3"/>
  <c r="F25" i="3"/>
  <c r="M25" i="3"/>
  <c r="T14" i="3"/>
  <c r="L25" i="3"/>
  <c r="I25" i="3"/>
  <c r="R25" i="3"/>
  <c r="K14" i="3"/>
  <c r="V19" i="2"/>
  <c r="AJ19" i="2" s="1"/>
  <c r="U19" i="2"/>
  <c r="U14" i="2"/>
  <c r="F34" i="2" s="1"/>
  <c r="U13" i="2"/>
  <c r="U18" i="2"/>
  <c r="F31" i="2" l="1"/>
  <c r="AJ12" i="2"/>
  <c r="M31" i="2"/>
  <c r="G33" i="2"/>
  <c r="G34" i="2"/>
  <c r="M34" i="2" s="1"/>
  <c r="G32" i="2"/>
  <c r="F32" i="2"/>
  <c r="E33" i="2"/>
  <c r="E34" i="2"/>
  <c r="F33" i="2"/>
  <c r="E27" i="3"/>
  <c r="U27" i="3" s="1"/>
  <c r="AK17" i="2"/>
  <c r="E31" i="3"/>
  <c r="Q31" i="3" s="1"/>
  <c r="AK11" i="2"/>
  <c r="E26" i="3"/>
  <c r="AK13" i="2"/>
  <c r="E28" i="3"/>
  <c r="AK20" i="2"/>
  <c r="E35" i="3"/>
  <c r="AK19" i="2"/>
  <c r="E34" i="3"/>
  <c r="U29" i="3"/>
  <c r="M29" i="3"/>
  <c r="T29" i="3"/>
  <c r="S29" i="3"/>
  <c r="R29" i="3"/>
  <c r="L29" i="3"/>
  <c r="J29" i="3"/>
  <c r="K29" i="3"/>
  <c r="M32" i="3"/>
  <c r="H32" i="3"/>
  <c r="F32" i="3"/>
  <c r="G32" i="3"/>
  <c r="K32" i="3"/>
  <c r="J32" i="3"/>
  <c r="I32" i="3"/>
  <c r="L32" i="3"/>
  <c r="S30" i="3"/>
  <c r="J30" i="3"/>
  <c r="F30" i="3"/>
  <c r="K30" i="3"/>
  <c r="R30" i="3"/>
  <c r="N30" i="3"/>
  <c r="G30" i="3"/>
  <c r="O30" i="3"/>
  <c r="AK18" i="2"/>
  <c r="E33" i="3"/>
  <c r="Q27" i="3" l="1"/>
  <c r="S27" i="3"/>
  <c r="R27" i="3"/>
  <c r="AK12" i="2"/>
  <c r="I31" i="2"/>
  <c r="I34" i="2"/>
  <c r="I32" i="2"/>
  <c r="I33" i="2"/>
  <c r="N27" i="3"/>
  <c r="T27" i="3"/>
  <c r="P27" i="3"/>
  <c r="O27" i="3"/>
  <c r="I31" i="3"/>
  <c r="T31" i="3"/>
  <c r="M31" i="3"/>
  <c r="H31" i="3"/>
  <c r="P31" i="3"/>
  <c r="L31" i="3"/>
  <c r="U31" i="3"/>
  <c r="U35" i="3"/>
  <c r="O35" i="3"/>
  <c r="K35" i="3"/>
  <c r="Q35" i="3"/>
  <c r="G35" i="3"/>
  <c r="I35" i="3"/>
  <c r="M35" i="3"/>
  <c r="S35" i="3"/>
  <c r="U33" i="3"/>
  <c r="S33" i="3"/>
  <c r="R33" i="3"/>
  <c r="T33" i="3"/>
  <c r="O33" i="3"/>
  <c r="N33" i="3"/>
  <c r="P33" i="3"/>
  <c r="Q33" i="3"/>
  <c r="M26" i="3"/>
  <c r="F26" i="3"/>
  <c r="L26" i="3"/>
  <c r="J26" i="3"/>
  <c r="K26" i="3"/>
  <c r="H26" i="3"/>
  <c r="G26" i="3"/>
  <c r="I26" i="3"/>
  <c r="T34" i="3"/>
  <c r="H34" i="3"/>
  <c r="L34" i="3"/>
  <c r="P34" i="3"/>
  <c r="F34" i="3"/>
  <c r="R34" i="3"/>
  <c r="J34" i="3"/>
  <c r="N34" i="3"/>
  <c r="Q28" i="3"/>
  <c r="I28" i="3"/>
  <c r="F28" i="3"/>
  <c r="P28" i="3"/>
  <c r="O28" i="3"/>
  <c r="H28" i="3"/>
  <c r="G28" i="3"/>
  <c r="N28" i="3"/>
  <c r="J33" i="2" l="1"/>
  <c r="J34" i="2"/>
  <c r="J31" i="2"/>
  <c r="J32" i="2"/>
  <c r="U36" i="3"/>
  <c r="U38" i="3" s="1"/>
  <c r="P36" i="3"/>
  <c r="P38" i="3" s="1"/>
  <c r="S36" i="3"/>
  <c r="S38" i="3" s="1"/>
  <c r="O36" i="3"/>
  <c r="O38" i="3" s="1"/>
  <c r="T36" i="3"/>
  <c r="T38" i="3" s="1"/>
  <c r="R36" i="3"/>
  <c r="R38" i="3" s="1"/>
  <c r="M36" i="3"/>
  <c r="M38" i="3" s="1"/>
  <c r="F36" i="3"/>
  <c r="F38" i="3" s="1"/>
  <c r="Q36" i="3"/>
  <c r="Q38" i="3" s="1"/>
  <c r="N36" i="3"/>
  <c r="N38" i="3" s="1"/>
  <c r="H36" i="3"/>
  <c r="H38" i="3" s="1"/>
  <c r="G36" i="3"/>
  <c r="G38" i="3" s="1"/>
  <c r="K36" i="3"/>
  <c r="K38" i="3" s="1"/>
  <c r="J36" i="3"/>
  <c r="J38" i="3" s="1"/>
  <c r="I36" i="3"/>
  <c r="I38" i="3" s="1"/>
  <c r="L36" i="3"/>
  <c r="L38" i="3" s="1"/>
  <c r="K32" i="2" l="1"/>
  <c r="L32" i="2"/>
  <c r="K31" i="2"/>
  <c r="K34" i="2"/>
  <c r="L34" i="2"/>
  <c r="K33" i="2"/>
  <c r="L33" i="2"/>
</calcChain>
</file>

<file path=xl/sharedStrings.xml><?xml version="1.0" encoding="utf-8"?>
<sst xmlns="http://schemas.openxmlformats.org/spreadsheetml/2006/main" count="224" uniqueCount="137">
  <si>
    <t>System Description</t>
  </si>
  <si>
    <t>Capability Index</t>
  </si>
  <si>
    <t>Unit Manufacturing Cost</t>
  </si>
  <si>
    <t>MTBF</t>
  </si>
  <si>
    <t>MTTR</t>
  </si>
  <si>
    <t>Rectifier Transformer A</t>
  </si>
  <si>
    <t>Rectifier Transformer B</t>
  </si>
  <si>
    <t>HV Switchboard A</t>
  </si>
  <si>
    <t>DC Switchboard A</t>
  </si>
  <si>
    <t>Auxiliary Transformer A</t>
  </si>
  <si>
    <t>Protection System A</t>
  </si>
  <si>
    <t>Protection System B</t>
  </si>
  <si>
    <t>HV Switchboard B</t>
  </si>
  <si>
    <t>DC Switchboard B</t>
  </si>
  <si>
    <t>Auxiliary Transformer B</t>
  </si>
  <si>
    <t>CI</t>
  </si>
  <si>
    <t>£</t>
  </si>
  <si>
    <t>£/hour</t>
  </si>
  <si>
    <t>Repair specifications</t>
  </si>
  <si>
    <t>Asset general information and requirements</t>
  </si>
  <si>
    <t>Global constants:</t>
  </si>
  <si>
    <t>Operating hours per annum</t>
  </si>
  <si>
    <t>(per substation)</t>
  </si>
  <si>
    <t>Service specifications</t>
  </si>
  <si>
    <t>MTBS</t>
  </si>
  <si>
    <t>MTTS</t>
  </si>
  <si>
    <t>days</t>
  </si>
  <si>
    <t>hours</t>
  </si>
  <si>
    <t>£/year</t>
  </si>
  <si>
    <t>Avg. Repair hours per year</t>
  </si>
  <si>
    <t>operating hours</t>
  </si>
  <si>
    <t>Workday man-hours</t>
  </si>
  <si>
    <t>man-hours</t>
  </si>
  <si>
    <t>man-hours/year</t>
  </si>
  <si>
    <t>Miscellaneous Costs</t>
  </si>
  <si>
    <t>Count</t>
  </si>
  <si>
    <t>CAPEX/item</t>
  </si>
  <si>
    <t>OPEX/item</t>
  </si>
  <si>
    <t>Net CAPEX</t>
  </si>
  <si>
    <t>Net OPEX</t>
  </si>
  <si>
    <t>Avg. MTCE cost/year</t>
  </si>
  <si>
    <t>Avg. MTCE hrs/year</t>
  </si>
  <si>
    <t>man-hrs/year</t>
  </si>
  <si>
    <t>man-hrs</t>
  </si>
  <si>
    <t>Avg. Service cost/year</t>
  </si>
  <si>
    <t>Avg. Service hrs/year</t>
  </si>
  <si>
    <t>Man-hrs/repair</t>
  </si>
  <si>
    <t>No. of Men/ service</t>
  </si>
  <si>
    <t>Avg. Repair cost/year</t>
  </si>
  <si>
    <t>No. of Men/ repair</t>
  </si>
  <si>
    <t>Man-hour rates/hour (repair + service)</t>
  </si>
  <si>
    <t>Assets required per substation</t>
  </si>
  <si>
    <t>Avg. Repairs/year</t>
  </si>
  <si>
    <t>Repair costs/year per substation</t>
  </si>
  <si>
    <t>Service costs/year per substation</t>
  </si>
  <si>
    <t>MTCE hours and costs/year</t>
  </si>
  <si>
    <t>Environmental Improvements for harsh environment</t>
  </si>
  <si>
    <t>Crane capacity upgrade required</t>
  </si>
  <si>
    <t>Misc. CAPEX</t>
  </si>
  <si>
    <t>Required for Substation:</t>
  </si>
  <si>
    <t>✓</t>
  </si>
  <si>
    <t>*paired with rectifier setup. one upgrade serves</t>
  </si>
  <si>
    <t>Misc. OPEX</t>
  </si>
  <si>
    <t>Isolating bottle replacement for circuit breaker. 3x bottles/breaker, 8x breakers/substation. Lifetimes: Type A=10yrs, B=15yrs</t>
  </si>
  <si>
    <t>Limited by no. of overload trips. Expected 50 overload trips/yr. 4x/substation. Type: A=150trips, B=200 trips</t>
  </si>
  <si>
    <t>(for 5 substations over 40 yrs)</t>
  </si>
  <si>
    <t>Total Costs</t>
  </si>
  <si>
    <t>Net LCC</t>
  </si>
  <si>
    <t>Net Allocated Budget</t>
  </si>
  <si>
    <t xml:space="preserve"> *entire substation (both rectifier, auxiliary systems)</t>
  </si>
  <si>
    <t>*total MTCE hrs/op hrs goal of 0.0606 ignored as it is same result as achieving 485 MTCE hrs/yr (via 485/8000 = 0.0606)</t>
  </si>
  <si>
    <t>Misc. Cost Description</t>
  </si>
  <si>
    <t>Asset Type</t>
  </si>
  <si>
    <t>RTx</t>
  </si>
  <si>
    <t>A</t>
  </si>
  <si>
    <t>B</t>
  </si>
  <si>
    <t>Permissible Permutations</t>
  </si>
  <si>
    <t>HV switch</t>
  </si>
  <si>
    <t>DC switch</t>
  </si>
  <si>
    <t>ATx</t>
  </si>
  <si>
    <t>Prot. Sys.</t>
  </si>
  <si>
    <t>AAAAA</t>
  </si>
  <si>
    <t>AAAAB</t>
  </si>
  <si>
    <t>AABAA</t>
  </si>
  <si>
    <t>AABAB</t>
  </si>
  <si>
    <t>ABAAA</t>
  </si>
  <si>
    <t>ABAAB</t>
  </si>
  <si>
    <t>ABBAA</t>
  </si>
  <si>
    <t>ABBAB</t>
  </si>
  <si>
    <t>BAABA</t>
  </si>
  <si>
    <t>BAABB</t>
  </si>
  <si>
    <t>BABBB</t>
  </si>
  <si>
    <t>BBABA</t>
  </si>
  <si>
    <t>BBABB</t>
  </si>
  <si>
    <t>BBBBA</t>
  </si>
  <si>
    <t>BBBBB</t>
  </si>
  <si>
    <t>BABBA</t>
  </si>
  <si>
    <t>Value</t>
  </si>
  <si>
    <t xml:space="preserve">CAPEX (£) (Budget: £13.5m) </t>
  </si>
  <si>
    <t>Cumulative CAPEX (Highlight ≤ £13.75m)</t>
  </si>
  <si>
    <t>Cumulative CI (Highlight ≥ 745)</t>
  </si>
  <si>
    <t xml:space="preserve">OPEX (£) (Budget: £5.0m) </t>
  </si>
  <si>
    <t>Net LCC per permutation (£) (Budget: £18.5m)</t>
  </si>
  <si>
    <t>Cumulative OPEX (Highlight ≤ £5.25m)</t>
  </si>
  <si>
    <t>Permutation</t>
  </si>
  <si>
    <t>Avg. MTBF</t>
  </si>
  <si>
    <t>(for 5 substations over 40 years)</t>
  </si>
  <si>
    <t>Budget Consumption</t>
  </si>
  <si>
    <t>% used</t>
  </si>
  <si>
    <t>LCC Budget: £18.5m</t>
  </si>
  <si>
    <t>remainder (£)</t>
  </si>
  <si>
    <t>operating hrs/year</t>
  </si>
  <si>
    <t>Net MTCE hours</t>
  </si>
  <si>
    <t>Avg. MTCE hrs/year (all substations)</t>
  </si>
  <si>
    <t>(to ensure operation reaches 42 years)</t>
  </si>
  <si>
    <t>*calculated to consider whether such costs fit in remaining budget</t>
  </si>
  <si>
    <t>Remaining Budget after delay period</t>
  </si>
  <si>
    <t>Allocated Budget</t>
  </si>
  <si>
    <t>Net MTCE cost</t>
  </si>
  <si>
    <t>SECTION 1.1: Asset Analysis</t>
  </si>
  <si>
    <t>Net CAPEX*</t>
  </si>
  <si>
    <t>Replacement Delay Costs**</t>
  </si>
  <si>
    <t>Add. MTCE cost**</t>
  </si>
  <si>
    <t>Add. Misc. cost**</t>
  </si>
  <si>
    <t>*£25k added to CAPEX, accounting for commissioning engineer rated at £5k per substation</t>
  </si>
  <si>
    <t>Avg. Services/year</t>
  </si>
  <si>
    <t>Man-hrs/service</t>
  </si>
  <si>
    <t>Capability Index (Budget: 750)</t>
  </si>
  <si>
    <t>SECTION 1.3: Shortlist Analysis</t>
  </si>
  <si>
    <t>Costs and Hours Comparison</t>
  </si>
  <si>
    <t>Replacement Cost Notes</t>
  </si>
  <si>
    <t>Additional £10k required for 2 additional years of OPEX to reach 42 years</t>
  </si>
  <si>
    <t>40 years accounted for. Requires additional £360k to extend from 40-&gt;50 years (minimum extension)</t>
  </si>
  <si>
    <t>Due to 15yr lifetime, 45 yrs must be allocated to meet 40 yr requirement. Thus operational for more than 42 years.</t>
  </si>
  <si>
    <t>Due to 3-year lifetime, 42 years are allocated by default to meet 40 year lifecycle requirement.</t>
  </si>
  <si>
    <t>40 years allocated by default. Requires £50k in OPEX to extend to 44 years.</t>
  </si>
  <si>
    <t>(additional costs required to extend lifetime to 42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</si>
</sst>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"/>
    <numFmt numFmtId="166" formatCode="[&gt;=1000]#,##0.0,&quot;k&quot;;0.0\ "/>
    <numFmt numFmtId="167" formatCode="[&gt;=1000]#,##0,&quot;k&quot;;0\ "/>
    <numFmt numFmtId="168" formatCode="[&gt;=1000]#,##0.0,&quot;k/yr&quot;;0.0\ "/>
    <numFmt numFmtId="169" formatCode="[&gt;=1000]#,##0.0,&quot;k/10yrs&quot;;0.0\ "/>
    <numFmt numFmtId="170" formatCode="[&gt;=1000]#,##0.0,&quot;k/15yrs&quot;;0.0\ "/>
    <numFmt numFmtId="171" formatCode="[&gt;=1000]#,##0.0,&quot;k/3yrs&quot;;0.0\ "/>
    <numFmt numFmtId="172" formatCode="[&gt;=1000]#,##0.0,&quot;k/4yrs&quot;;0.0\ "/>
    <numFmt numFmtId="173" formatCode="#,##0.00,,&quot;m&quot;;General"/>
    <numFmt numFmtId="176" formatCode="0.0%"/>
  </numFmts>
  <fonts count="1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0"/>
      <color theme="9" tint="0.79998168889431442"/>
      <name val="Arial"/>
      <family val="2"/>
    </font>
    <font>
      <b/>
      <sz val="15"/>
      <color theme="0"/>
      <name val="Arial"/>
      <family val="2"/>
    </font>
    <font>
      <b/>
      <sz val="13"/>
      <color theme="0"/>
      <name val="Arial"/>
      <family val="2"/>
    </font>
    <font>
      <b/>
      <sz val="10"/>
      <color theme="9" tint="0.7999816888943144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167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/>
    </xf>
    <xf numFmtId="168" fontId="1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171" fontId="1" fillId="3" borderId="0" xfId="0" applyNumberFormat="1" applyFont="1" applyFill="1" applyAlignment="1">
      <alignment horizontal="center"/>
    </xf>
    <xf numFmtId="172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7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9" fontId="1" fillId="4" borderId="0" xfId="0" applyNumberFormat="1" applyFont="1" applyFill="1" applyAlignment="1">
      <alignment horizontal="center"/>
    </xf>
    <xf numFmtId="170" fontId="1" fillId="4" borderId="0" xfId="0" applyNumberFormat="1" applyFont="1" applyFill="1" applyAlignment="1">
      <alignment horizontal="center"/>
    </xf>
    <xf numFmtId="173" fontId="5" fillId="2" borderId="0" xfId="0" applyNumberFormat="1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3" fontId="1" fillId="4" borderId="4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/>
    </xf>
    <xf numFmtId="165" fontId="1" fillId="3" borderId="5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165" fontId="1" fillId="4" borderId="5" xfId="0" applyNumberFormat="1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2" fontId="1" fillId="4" borderId="4" xfId="0" applyNumberFormat="1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4" borderId="0" xfId="0" applyNumberFormat="1" applyFont="1" applyFill="1" applyAlignment="1">
      <alignment horizontal="center"/>
    </xf>
    <xf numFmtId="0" fontId="1" fillId="3" borderId="9" xfId="0" applyFont="1" applyFill="1" applyBorder="1"/>
    <xf numFmtId="0" fontId="1" fillId="4" borderId="9" xfId="0" applyFont="1" applyFill="1" applyBorder="1"/>
    <xf numFmtId="0" fontId="5" fillId="2" borderId="9" xfId="0" applyFont="1" applyFill="1" applyBorder="1" applyAlignment="1">
      <alignment horizontal="left"/>
    </xf>
    <xf numFmtId="173" fontId="1" fillId="3" borderId="0" xfId="0" applyNumberFormat="1" applyFont="1" applyFill="1" applyAlignment="1">
      <alignment horizontal="center"/>
    </xf>
    <xf numFmtId="173" fontId="1" fillId="3" borderId="5" xfId="0" applyNumberFormat="1" applyFont="1" applyFill="1" applyBorder="1" applyAlignment="1">
      <alignment horizontal="center"/>
    </xf>
    <xf numFmtId="173" fontId="1" fillId="4" borderId="0" xfId="0" applyNumberFormat="1" applyFont="1" applyFill="1" applyAlignment="1">
      <alignment horizontal="center"/>
    </xf>
    <xf numFmtId="173" fontId="1" fillId="4" borderId="5" xfId="0" applyNumberFormat="1" applyFont="1" applyFill="1" applyBorder="1" applyAlignment="1">
      <alignment horizontal="center"/>
    </xf>
    <xf numFmtId="173" fontId="5" fillId="2" borderId="5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173" fontId="1" fillId="3" borderId="11" xfId="0" applyNumberFormat="1" applyFont="1" applyFill="1" applyBorder="1" applyAlignment="1">
      <alignment horizontal="center"/>
    </xf>
    <xf numFmtId="173" fontId="1" fillId="3" borderId="10" xfId="0" applyNumberFormat="1" applyFont="1" applyFill="1" applyBorder="1" applyAlignment="1">
      <alignment horizontal="center"/>
    </xf>
    <xf numFmtId="173" fontId="1" fillId="3" borderId="12" xfId="0" applyNumberFormat="1" applyFont="1" applyFill="1" applyBorder="1" applyAlignment="1">
      <alignment horizontal="center"/>
    </xf>
    <xf numFmtId="173" fontId="10" fillId="6" borderId="0" xfId="0" applyNumberFormat="1" applyFont="1" applyFill="1" applyAlignment="1">
      <alignment horizontal="center"/>
    </xf>
    <xf numFmtId="173" fontId="13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11" xfId="0" applyFont="1" applyFill="1" applyBorder="1" applyAlignment="1">
      <alignment horizontal="center"/>
    </xf>
    <xf numFmtId="173" fontId="1" fillId="4" borderId="11" xfId="0" applyNumberFormat="1" applyFont="1" applyFill="1" applyBorder="1" applyAlignment="1">
      <alignment horizontal="center"/>
    </xf>
    <xf numFmtId="173" fontId="5" fillId="2" borderId="11" xfId="0" applyNumberFormat="1" applyFont="1" applyFill="1" applyBorder="1" applyAlignment="1">
      <alignment horizontal="center"/>
    </xf>
    <xf numFmtId="173" fontId="10" fillId="6" borderId="11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73" fontId="7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textRotation="90" wrapText="1"/>
    </xf>
    <xf numFmtId="173" fontId="5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1" fillId="0" borderId="0" xfId="0" applyFont="1" applyBorder="1"/>
    <xf numFmtId="0" fontId="6" fillId="2" borderId="0" xfId="0" applyFont="1" applyFill="1" applyBorder="1" applyAlignment="1">
      <alignment horizontal="center" vertical="center"/>
    </xf>
    <xf numFmtId="165" fontId="1" fillId="7" borderId="0" xfId="0" applyNumberFormat="1" applyFont="1" applyFill="1" applyBorder="1" applyAlignment="1">
      <alignment horizontal="center" vertical="center"/>
    </xf>
    <xf numFmtId="165" fontId="1" fillId="3" borderId="0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" fontId="1" fillId="7" borderId="14" xfId="0" applyNumberFormat="1" applyFont="1" applyFill="1" applyBorder="1" applyAlignment="1">
      <alignment horizontal="center" vertical="center"/>
    </xf>
    <xf numFmtId="165" fontId="1" fillId="7" borderId="14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vertical="center"/>
    </xf>
    <xf numFmtId="165" fontId="1" fillId="3" borderId="16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7" fillId="2" borderId="0" xfId="0" applyFont="1" applyFill="1" applyBorder="1" applyAlignment="1">
      <alignment horizontal="center" vertical="center" wrapText="1"/>
    </xf>
    <xf numFmtId="173" fontId="1" fillId="7" borderId="0" xfId="0" applyNumberFormat="1" applyFont="1" applyFill="1" applyBorder="1" applyAlignment="1">
      <alignment horizontal="center" vertical="center"/>
    </xf>
    <xf numFmtId="173" fontId="1" fillId="3" borderId="0" xfId="0" applyNumberFormat="1" applyFont="1" applyFill="1" applyBorder="1" applyAlignment="1">
      <alignment horizontal="center" vertical="center"/>
    </xf>
    <xf numFmtId="173" fontId="1" fillId="3" borderId="16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76" fontId="1" fillId="7" borderId="14" xfId="0" applyNumberFormat="1" applyFont="1" applyFill="1" applyBorder="1" applyAlignment="1">
      <alignment horizontal="center" vertical="center"/>
    </xf>
    <xf numFmtId="176" fontId="1" fillId="3" borderId="14" xfId="0" applyNumberFormat="1" applyFont="1" applyFill="1" applyBorder="1" applyAlignment="1">
      <alignment horizontal="center" vertical="center"/>
    </xf>
    <xf numFmtId="176" fontId="1" fillId="3" borderId="15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173" fontId="1" fillId="7" borderId="14" xfId="0" applyNumberFormat="1" applyFont="1" applyFill="1" applyBorder="1" applyAlignment="1">
      <alignment horizontal="center" vertical="center"/>
    </xf>
    <xf numFmtId="173" fontId="1" fillId="3" borderId="14" xfId="0" applyNumberFormat="1" applyFont="1" applyFill="1" applyBorder="1" applyAlignment="1">
      <alignment horizontal="center" vertical="center"/>
    </xf>
    <xf numFmtId="173" fontId="1" fillId="7" borderId="0" xfId="0" applyNumberFormat="1" applyFont="1" applyFill="1" applyBorder="1" applyAlignment="1">
      <alignment horizontal="center" vertical="center"/>
    </xf>
    <xf numFmtId="173" fontId="1" fillId="3" borderId="0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173" fontId="1" fillId="7" borderId="11" xfId="0" applyNumberFormat="1" applyFont="1" applyFill="1" applyBorder="1" applyAlignment="1">
      <alignment horizontal="center" vertical="center"/>
    </xf>
    <xf numFmtId="173" fontId="1" fillId="3" borderId="11" xfId="0" applyNumberFormat="1" applyFont="1" applyFill="1" applyBorder="1" applyAlignment="1">
      <alignment horizontal="center" vertical="center"/>
    </xf>
    <xf numFmtId="165" fontId="10" fillId="6" borderId="14" xfId="0" applyNumberFormat="1" applyFont="1" applyFill="1" applyBorder="1" applyAlignment="1">
      <alignment horizontal="center" vertical="center"/>
    </xf>
    <xf numFmtId="165" fontId="10" fillId="6" borderId="15" xfId="0" applyNumberFormat="1" applyFont="1" applyFill="1" applyBorder="1" applyAlignment="1">
      <alignment horizontal="center" vertical="center"/>
    </xf>
    <xf numFmtId="1" fontId="10" fillId="6" borderId="14" xfId="0" applyNumberFormat="1" applyFont="1" applyFill="1" applyBorder="1" applyAlignment="1">
      <alignment horizontal="center" vertical="center"/>
    </xf>
    <xf numFmtId="1" fontId="10" fillId="6" borderId="15" xfId="0" applyNumberFormat="1" applyFont="1" applyFill="1" applyBorder="1" applyAlignment="1">
      <alignment horizontal="center" vertical="center"/>
    </xf>
    <xf numFmtId="165" fontId="10" fillId="6" borderId="16" xfId="0" applyNumberFormat="1" applyFont="1" applyFill="1" applyBorder="1" applyAlignment="1">
      <alignment horizontal="center" vertical="center"/>
    </xf>
    <xf numFmtId="165" fontId="10" fillId="6" borderId="0" xfId="0" applyNumberFormat="1" applyFont="1" applyFill="1" applyBorder="1" applyAlignment="1">
      <alignment horizontal="center" vertical="center"/>
    </xf>
    <xf numFmtId="173" fontId="10" fillId="6" borderId="0" xfId="0" applyNumberFormat="1" applyFont="1" applyFill="1" applyBorder="1" applyAlignment="1">
      <alignment horizontal="center" vertical="center"/>
    </xf>
    <xf numFmtId="173" fontId="10" fillId="6" borderId="16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4117-6961-7B46-9B09-538AA7E5FC37}">
  <dimension ref="B1:DB101"/>
  <sheetViews>
    <sheetView tabSelected="1" zoomScale="57" workbookViewId="0">
      <pane xSplit="2" topLeftCell="C1" activePane="topRight" state="frozen"/>
      <selection pane="topRight" activeCell="D45" sqref="D45"/>
    </sheetView>
  </sheetViews>
  <sheetFormatPr baseColWidth="10" defaultRowHeight="14" x14ac:dyDescent="0.2"/>
  <cols>
    <col min="1" max="1" width="10.83203125" style="2"/>
    <col min="2" max="2" width="25.83203125" style="2" customWidth="1"/>
    <col min="3" max="3" width="14.5" style="2" customWidth="1"/>
    <col min="4" max="4" width="20.83203125" style="2" customWidth="1"/>
    <col min="5" max="5" width="17.5" style="2" customWidth="1"/>
    <col min="6" max="6" width="19.5" style="2" customWidth="1"/>
    <col min="7" max="7" width="13.33203125" style="2" customWidth="1"/>
    <col min="8" max="8" width="12.6640625" style="2" bestFit="1" customWidth="1"/>
    <col min="9" max="9" width="11.33203125" style="2" customWidth="1"/>
    <col min="10" max="10" width="14.83203125" style="2" customWidth="1"/>
    <col min="11" max="11" width="15.1640625" style="2" customWidth="1"/>
    <col min="12" max="12" width="15.6640625" style="2" customWidth="1"/>
    <col min="13" max="13" width="19.5" style="2" customWidth="1"/>
    <col min="14" max="14" width="9.6640625" style="2" customWidth="1"/>
    <col min="15" max="15" width="9.33203125" style="2" customWidth="1"/>
    <col min="16" max="16" width="11.1640625" style="2" customWidth="1"/>
    <col min="17" max="17" width="12.83203125" style="2" customWidth="1"/>
    <col min="18" max="18" width="10.83203125" style="2"/>
    <col min="19" max="19" width="14" style="2" customWidth="1"/>
    <col min="20" max="20" width="13" style="2" customWidth="1"/>
    <col min="21" max="21" width="13.5" style="2" customWidth="1"/>
    <col min="22" max="22" width="13" style="2" customWidth="1"/>
    <col min="23" max="23" width="53" style="2" customWidth="1"/>
    <col min="24" max="28" width="4.83203125" style="2" customWidth="1"/>
    <col min="29" max="29" width="10.83203125" style="2"/>
    <col min="30" max="30" width="13.83203125" style="2" customWidth="1"/>
    <col min="31" max="31" width="13.33203125" style="2" customWidth="1"/>
    <col min="32" max="32" width="12" style="2" customWidth="1"/>
    <col min="33" max="33" width="12.33203125" style="2" customWidth="1"/>
    <col min="34" max="34" width="84.83203125" style="2" customWidth="1"/>
    <col min="35" max="16384" width="10.83203125" style="2"/>
  </cols>
  <sheetData>
    <row r="1" spans="2:106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2:106" x14ac:dyDescent="0.2">
      <c r="B2" s="1" t="s">
        <v>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2:106" x14ac:dyDescent="0.2">
      <c r="B3" s="1" t="s">
        <v>21</v>
      </c>
      <c r="C3" s="1">
        <v>8000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2:106" x14ac:dyDescent="0.2">
      <c r="B4" s="1" t="s">
        <v>31</v>
      </c>
      <c r="C4" s="1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2:106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2:106" ht="18" x14ac:dyDescent="0.2">
      <c r="B6" s="3" t="s">
        <v>119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2:106" ht="16" customHeight="1" x14ac:dyDescent="0.2">
      <c r="B7" s="84" t="s">
        <v>0</v>
      </c>
      <c r="C7" s="91" t="s">
        <v>19</v>
      </c>
      <c r="D7" s="95"/>
      <c r="E7" s="95"/>
      <c r="F7" s="92"/>
      <c r="G7" s="91" t="s">
        <v>18</v>
      </c>
      <c r="H7" s="95"/>
      <c r="I7" s="92"/>
      <c r="J7" s="91" t="s">
        <v>53</v>
      </c>
      <c r="K7" s="95"/>
      <c r="L7" s="95"/>
      <c r="M7" s="92"/>
      <c r="N7" s="95" t="s">
        <v>23</v>
      </c>
      <c r="O7" s="95"/>
      <c r="P7" s="95"/>
      <c r="Q7" s="91" t="s">
        <v>54</v>
      </c>
      <c r="R7" s="95"/>
      <c r="S7" s="95"/>
      <c r="T7" s="92"/>
      <c r="U7" s="91" t="s">
        <v>55</v>
      </c>
      <c r="V7" s="92"/>
      <c r="W7" s="77" t="s">
        <v>34</v>
      </c>
      <c r="X7" s="77"/>
      <c r="Y7" s="77"/>
      <c r="Z7" s="77"/>
      <c r="AA7" s="77"/>
      <c r="AB7" s="77"/>
      <c r="AC7" s="77"/>
      <c r="AD7" s="77"/>
      <c r="AE7" s="77"/>
      <c r="AF7" s="77"/>
      <c r="AG7" s="77"/>
      <c r="AH7" s="24"/>
      <c r="AI7" s="77" t="s">
        <v>66</v>
      </c>
      <c r="AJ7" s="77"/>
      <c r="AK7" s="78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2:106" ht="27" customHeight="1" x14ac:dyDescent="0.2">
      <c r="B8" s="84"/>
      <c r="C8" s="94" t="s">
        <v>1</v>
      </c>
      <c r="D8" s="89" t="s">
        <v>2</v>
      </c>
      <c r="E8" s="89" t="s">
        <v>51</v>
      </c>
      <c r="F8" s="93" t="s">
        <v>50</v>
      </c>
      <c r="G8" s="94" t="s">
        <v>3</v>
      </c>
      <c r="H8" s="89" t="s">
        <v>4</v>
      </c>
      <c r="I8" s="93" t="s">
        <v>49</v>
      </c>
      <c r="J8" s="28" t="s">
        <v>52</v>
      </c>
      <c r="K8" s="8" t="s">
        <v>46</v>
      </c>
      <c r="L8" s="8" t="s">
        <v>29</v>
      </c>
      <c r="M8" s="29" t="s">
        <v>48</v>
      </c>
      <c r="N8" s="89" t="s">
        <v>24</v>
      </c>
      <c r="O8" s="89" t="s">
        <v>25</v>
      </c>
      <c r="P8" s="89" t="s">
        <v>47</v>
      </c>
      <c r="Q8" s="28" t="s">
        <v>125</v>
      </c>
      <c r="R8" s="8" t="s">
        <v>126</v>
      </c>
      <c r="S8" s="8" t="s">
        <v>45</v>
      </c>
      <c r="T8" s="29" t="s">
        <v>44</v>
      </c>
      <c r="U8" s="28" t="s">
        <v>41</v>
      </c>
      <c r="V8" s="29" t="s">
        <v>40</v>
      </c>
      <c r="W8" s="85" t="s">
        <v>71</v>
      </c>
      <c r="X8" s="89" t="s">
        <v>59</v>
      </c>
      <c r="Y8" s="89"/>
      <c r="Z8" s="89"/>
      <c r="AA8" s="89"/>
      <c r="AB8" s="89"/>
      <c r="AC8" s="89" t="s">
        <v>35</v>
      </c>
      <c r="AD8" s="7" t="s">
        <v>36</v>
      </c>
      <c r="AE8" s="7" t="s">
        <v>37</v>
      </c>
      <c r="AF8" s="7" t="s">
        <v>58</v>
      </c>
      <c r="AG8" s="7" t="s">
        <v>62</v>
      </c>
      <c r="AH8" s="85" t="s">
        <v>130</v>
      </c>
      <c r="AI8" s="6" t="s">
        <v>38</v>
      </c>
      <c r="AJ8" s="6" t="s">
        <v>39</v>
      </c>
      <c r="AK8" s="37" t="s">
        <v>67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2:106" ht="15" customHeight="1" x14ac:dyDescent="0.2">
      <c r="B9" s="84"/>
      <c r="C9" s="94"/>
      <c r="D9" s="89"/>
      <c r="E9" s="89"/>
      <c r="F9" s="93"/>
      <c r="G9" s="94"/>
      <c r="H9" s="89"/>
      <c r="I9" s="93"/>
      <c r="J9" s="94" t="s">
        <v>22</v>
      </c>
      <c r="K9" s="89"/>
      <c r="L9" s="89"/>
      <c r="M9" s="93"/>
      <c r="N9" s="89"/>
      <c r="O9" s="89"/>
      <c r="P9" s="89"/>
      <c r="Q9" s="94" t="s">
        <v>22</v>
      </c>
      <c r="R9" s="89"/>
      <c r="S9" s="89"/>
      <c r="T9" s="93"/>
      <c r="U9" s="158" t="s">
        <v>22</v>
      </c>
      <c r="V9" s="80"/>
      <c r="W9" s="85"/>
      <c r="X9" s="89"/>
      <c r="Y9" s="89"/>
      <c r="Z9" s="89"/>
      <c r="AA9" s="89"/>
      <c r="AB9" s="89"/>
      <c r="AC9" s="89"/>
      <c r="AD9" s="7"/>
      <c r="AE9" s="7"/>
      <c r="AF9" s="85" t="s">
        <v>65</v>
      </c>
      <c r="AG9" s="85"/>
      <c r="AH9" s="85"/>
      <c r="AI9" s="79" t="s">
        <v>65</v>
      </c>
      <c r="AJ9" s="79"/>
      <c r="AK9" s="80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2:106" x14ac:dyDescent="0.2">
      <c r="B10" s="84"/>
      <c r="C10" s="30" t="s">
        <v>15</v>
      </c>
      <c r="D10" s="25" t="s">
        <v>16</v>
      </c>
      <c r="E10" s="89"/>
      <c r="F10" s="31" t="s">
        <v>17</v>
      </c>
      <c r="G10" s="30" t="s">
        <v>30</v>
      </c>
      <c r="H10" s="25" t="s">
        <v>27</v>
      </c>
      <c r="I10" s="37"/>
      <c r="J10" s="44"/>
      <c r="K10" s="25" t="s">
        <v>32</v>
      </c>
      <c r="L10" s="25" t="s">
        <v>33</v>
      </c>
      <c r="M10" s="31" t="s">
        <v>28</v>
      </c>
      <c r="N10" s="25" t="s">
        <v>27</v>
      </c>
      <c r="O10" s="25" t="s">
        <v>26</v>
      </c>
      <c r="P10" s="6"/>
      <c r="Q10" s="44"/>
      <c r="R10" s="25" t="s">
        <v>43</v>
      </c>
      <c r="S10" s="25" t="s">
        <v>42</v>
      </c>
      <c r="T10" s="31" t="s">
        <v>28</v>
      </c>
      <c r="U10" s="105" t="s">
        <v>42</v>
      </c>
      <c r="V10" s="31" t="s">
        <v>28</v>
      </c>
      <c r="W10" s="85"/>
      <c r="X10" s="6">
        <v>1</v>
      </c>
      <c r="Y10" s="6">
        <v>2</v>
      </c>
      <c r="Z10" s="6">
        <v>3</v>
      </c>
      <c r="AA10" s="6">
        <v>4</v>
      </c>
      <c r="AB10" s="6">
        <v>5</v>
      </c>
      <c r="AC10" s="7"/>
      <c r="AD10" s="7"/>
      <c r="AE10" s="7"/>
      <c r="AF10" s="83" t="s">
        <v>16</v>
      </c>
      <c r="AG10" s="83"/>
      <c r="AH10" s="6" t="s">
        <v>136</v>
      </c>
      <c r="AI10" s="81" t="s">
        <v>16</v>
      </c>
      <c r="AJ10" s="81"/>
      <c r="AK10" s="82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2:106" x14ac:dyDescent="0.2">
      <c r="B11" s="53" t="s">
        <v>5</v>
      </c>
      <c r="C11" s="32">
        <v>105</v>
      </c>
      <c r="D11" s="10">
        <v>300000</v>
      </c>
      <c r="E11" s="86">
        <v>3</v>
      </c>
      <c r="F11" s="96">
        <v>75</v>
      </c>
      <c r="G11" s="38">
        <v>22000</v>
      </c>
      <c r="H11" s="26">
        <v>3</v>
      </c>
      <c r="I11" s="39">
        <v>2</v>
      </c>
      <c r="J11" s="45">
        <f>$C$3/G11</f>
        <v>0.36363636363636365</v>
      </c>
      <c r="K11" s="9">
        <f>H11*I11*E11</f>
        <v>18</v>
      </c>
      <c r="L11" s="42">
        <f>J11*K11</f>
        <v>6.5454545454545459</v>
      </c>
      <c r="M11" s="46">
        <f>L11*F11</f>
        <v>490.90909090909093</v>
      </c>
      <c r="N11" s="51">
        <v>10000</v>
      </c>
      <c r="O11" s="26">
        <v>3</v>
      </c>
      <c r="P11" s="9">
        <v>2</v>
      </c>
      <c r="Q11" s="45">
        <f>$C$3/N11</f>
        <v>0.8</v>
      </c>
      <c r="R11" s="9">
        <f>O11*$C$4*P11*E11</f>
        <v>144</v>
      </c>
      <c r="S11" s="26">
        <f>Q11*R11</f>
        <v>115.2</v>
      </c>
      <c r="T11" s="46">
        <f>S11*F11</f>
        <v>8640</v>
      </c>
      <c r="U11" s="49">
        <f>S11+L11</f>
        <v>121.74545454545455</v>
      </c>
      <c r="V11" s="46">
        <f>T11+M11</f>
        <v>9130.9090909090901</v>
      </c>
      <c r="W11" s="11" t="s">
        <v>56</v>
      </c>
      <c r="X11" s="11" t="s">
        <v>60</v>
      </c>
      <c r="Y11" s="11"/>
      <c r="Z11" s="11"/>
      <c r="AA11" s="11" t="s">
        <v>60</v>
      </c>
      <c r="AB11" s="11"/>
      <c r="AC11" s="10">
        <v>2</v>
      </c>
      <c r="AD11" s="12">
        <v>250000</v>
      </c>
      <c r="AE11" s="13">
        <v>5000</v>
      </c>
      <c r="AF11" s="10">
        <f>AC11*AD11</f>
        <v>500000</v>
      </c>
      <c r="AG11" s="10">
        <f>AE11*40*AC11</f>
        <v>400000</v>
      </c>
      <c r="AH11" s="9" t="s">
        <v>131</v>
      </c>
      <c r="AI11" s="56">
        <f>D11*E11*5+AF11</f>
        <v>5000000</v>
      </c>
      <c r="AJ11" s="56">
        <f>AG11+V11*40*5</f>
        <v>2226181.8181818179</v>
      </c>
      <c r="AK11" s="57">
        <f>AJ11+AI11</f>
        <v>7226181.8181818184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2:106" x14ac:dyDescent="0.2">
      <c r="B12" s="53" t="s">
        <v>6</v>
      </c>
      <c r="C12" s="32">
        <v>140</v>
      </c>
      <c r="D12" s="10">
        <v>400000</v>
      </c>
      <c r="E12" s="86"/>
      <c r="F12" s="96"/>
      <c r="G12" s="38">
        <v>32000</v>
      </c>
      <c r="H12" s="26">
        <v>2</v>
      </c>
      <c r="I12" s="39">
        <v>2</v>
      </c>
      <c r="J12" s="45">
        <f t="shared" ref="J12:J20" si="0">$C$3/G12</f>
        <v>0.25</v>
      </c>
      <c r="K12" s="9">
        <f>H12*I12*E11</f>
        <v>12</v>
      </c>
      <c r="L12" s="42">
        <f t="shared" ref="L12:L20" si="1">J12*K12</f>
        <v>3</v>
      </c>
      <c r="M12" s="46">
        <f>L12*F11</f>
        <v>225</v>
      </c>
      <c r="N12" s="51">
        <v>25000</v>
      </c>
      <c r="O12" s="26">
        <v>2</v>
      </c>
      <c r="P12" s="9">
        <v>2</v>
      </c>
      <c r="Q12" s="45">
        <f t="shared" ref="Q12:Q20" si="2">$C$3/N12</f>
        <v>0.32</v>
      </c>
      <c r="R12" s="9">
        <f>O12*$C$4*P12*E11</f>
        <v>96</v>
      </c>
      <c r="S12" s="26">
        <f t="shared" ref="S12:S20" si="3">Q12*R12</f>
        <v>30.72</v>
      </c>
      <c r="T12" s="46">
        <f>S12*F11</f>
        <v>2304</v>
      </c>
      <c r="U12" s="49">
        <f t="shared" ref="U12:U20" si="4">S12+L12</f>
        <v>33.72</v>
      </c>
      <c r="V12" s="46">
        <f t="shared" ref="V12:V20" si="5">T12+M12</f>
        <v>2529</v>
      </c>
      <c r="W12" s="11" t="s">
        <v>57</v>
      </c>
      <c r="X12" s="11" t="s">
        <v>60</v>
      </c>
      <c r="Y12" s="11"/>
      <c r="Z12" s="11" t="s">
        <v>60</v>
      </c>
      <c r="AA12" s="11"/>
      <c r="AB12" s="11" t="s">
        <v>60</v>
      </c>
      <c r="AC12" s="10">
        <v>3</v>
      </c>
      <c r="AD12" s="12">
        <v>400000</v>
      </c>
      <c r="AE12" s="9"/>
      <c r="AF12" s="10">
        <f t="shared" ref="AF12" si="6">AC12*AD12</f>
        <v>1200000</v>
      </c>
      <c r="AG12" s="9"/>
      <c r="AH12" s="9"/>
      <c r="AI12" s="56">
        <f>D12*E11*5+AF12</f>
        <v>7200000</v>
      </c>
      <c r="AJ12" s="56">
        <f>AG12+V12*40*5</f>
        <v>505800</v>
      </c>
      <c r="AK12" s="57">
        <f t="shared" ref="AK12:AK20" si="7">AJ12+AI12</f>
        <v>7705800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2:106" x14ac:dyDescent="0.2">
      <c r="B13" s="54" t="s">
        <v>7</v>
      </c>
      <c r="C13" s="33">
        <v>108</v>
      </c>
      <c r="D13" s="18">
        <v>375000</v>
      </c>
      <c r="E13" s="87">
        <v>1</v>
      </c>
      <c r="F13" s="97">
        <v>75</v>
      </c>
      <c r="G13" s="40">
        <v>25000</v>
      </c>
      <c r="H13" s="27">
        <v>3</v>
      </c>
      <c r="I13" s="41">
        <v>2</v>
      </c>
      <c r="J13" s="47">
        <f t="shared" si="0"/>
        <v>0.32</v>
      </c>
      <c r="K13" s="17">
        <f t="shared" ref="K13:K19" si="8">H13*I13*E13</f>
        <v>6</v>
      </c>
      <c r="L13" s="43">
        <f t="shared" si="1"/>
        <v>1.92</v>
      </c>
      <c r="M13" s="48">
        <f t="shared" ref="M13:M19" si="9">L13*F13</f>
        <v>144</v>
      </c>
      <c r="N13" s="52">
        <v>17000</v>
      </c>
      <c r="O13" s="27">
        <v>3</v>
      </c>
      <c r="P13" s="17">
        <v>2</v>
      </c>
      <c r="Q13" s="47">
        <f t="shared" si="2"/>
        <v>0.47058823529411764</v>
      </c>
      <c r="R13" s="17">
        <f t="shared" ref="R13:R19" si="10">O13*$C$4*P13*E13</f>
        <v>48</v>
      </c>
      <c r="S13" s="27">
        <f t="shared" si="3"/>
        <v>22.588235294117645</v>
      </c>
      <c r="T13" s="48">
        <f t="shared" ref="T13:T19" si="11">S13*F13</f>
        <v>1694.1176470588234</v>
      </c>
      <c r="U13" s="50">
        <f t="shared" si="4"/>
        <v>24.508235294117647</v>
      </c>
      <c r="V13" s="48">
        <f t="shared" si="5"/>
        <v>1838.1176470588234</v>
      </c>
      <c r="W13" s="88" t="s">
        <v>63</v>
      </c>
      <c r="X13" s="19" t="s">
        <v>60</v>
      </c>
      <c r="Y13" s="20" t="s">
        <v>60</v>
      </c>
      <c r="Z13" s="20" t="s">
        <v>60</v>
      </c>
      <c r="AA13" s="20" t="s">
        <v>60</v>
      </c>
      <c r="AB13" s="20" t="s">
        <v>60</v>
      </c>
      <c r="AC13" s="17">
        <f>3*5*8</f>
        <v>120</v>
      </c>
      <c r="AD13" s="17"/>
      <c r="AE13" s="21">
        <v>3000</v>
      </c>
      <c r="AF13" s="18"/>
      <c r="AG13" s="18">
        <f>3*AE13*AC13</f>
        <v>1080000</v>
      </c>
      <c r="AH13" s="17" t="s">
        <v>132</v>
      </c>
      <c r="AI13" s="58">
        <f>D13*E13*5+AF13</f>
        <v>1875000</v>
      </c>
      <c r="AJ13" s="58">
        <f>AG13+V13*40*5</f>
        <v>1447623.5294117648</v>
      </c>
      <c r="AK13" s="59">
        <f t="shared" si="7"/>
        <v>3322623.5294117648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2:106" x14ac:dyDescent="0.2">
      <c r="B14" s="54" t="s">
        <v>12</v>
      </c>
      <c r="C14" s="33">
        <v>140</v>
      </c>
      <c r="D14" s="18">
        <v>475000</v>
      </c>
      <c r="E14" s="87"/>
      <c r="F14" s="97"/>
      <c r="G14" s="40">
        <v>30000</v>
      </c>
      <c r="H14" s="27">
        <v>3.5</v>
      </c>
      <c r="I14" s="41">
        <v>2</v>
      </c>
      <c r="J14" s="47">
        <f t="shared" si="0"/>
        <v>0.26666666666666666</v>
      </c>
      <c r="K14" s="17">
        <f>H14*I14*E13</f>
        <v>7</v>
      </c>
      <c r="L14" s="43">
        <f t="shared" si="1"/>
        <v>1.8666666666666667</v>
      </c>
      <c r="M14" s="48">
        <f>L14*F13</f>
        <v>140</v>
      </c>
      <c r="N14" s="52">
        <v>20000</v>
      </c>
      <c r="O14" s="27">
        <v>3.5</v>
      </c>
      <c r="P14" s="17">
        <v>2</v>
      </c>
      <c r="Q14" s="47">
        <f t="shared" si="2"/>
        <v>0.4</v>
      </c>
      <c r="R14" s="17">
        <f>O14*$C$4*P14*E13</f>
        <v>56</v>
      </c>
      <c r="S14" s="27">
        <f t="shared" si="3"/>
        <v>22.400000000000002</v>
      </c>
      <c r="T14" s="48">
        <f>S14*F13</f>
        <v>1680.0000000000002</v>
      </c>
      <c r="U14" s="50">
        <f t="shared" si="4"/>
        <v>24.266666666666669</v>
      </c>
      <c r="V14" s="48">
        <f t="shared" si="5"/>
        <v>1820.0000000000002</v>
      </c>
      <c r="W14" s="88"/>
      <c r="X14" s="20" t="s">
        <v>60</v>
      </c>
      <c r="Y14" s="20" t="s">
        <v>60</v>
      </c>
      <c r="Z14" s="20" t="s">
        <v>60</v>
      </c>
      <c r="AA14" s="20" t="s">
        <v>60</v>
      </c>
      <c r="AB14" s="20" t="s">
        <v>60</v>
      </c>
      <c r="AC14" s="17">
        <f>3*5*8</f>
        <v>120</v>
      </c>
      <c r="AD14" s="17"/>
      <c r="AE14" s="22">
        <v>8000</v>
      </c>
      <c r="AF14" s="18"/>
      <c r="AG14" s="18">
        <f>2*AC14*AE14</f>
        <v>1920000</v>
      </c>
      <c r="AH14" s="17" t="s">
        <v>133</v>
      </c>
      <c r="AI14" s="58">
        <f>D14*E13*5+AF14</f>
        <v>2375000</v>
      </c>
      <c r="AJ14" s="58">
        <f>AG14+V14*40*5</f>
        <v>2284000</v>
      </c>
      <c r="AK14" s="59">
        <f t="shared" si="7"/>
        <v>4659000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2:106" x14ac:dyDescent="0.2">
      <c r="B15" s="53" t="s">
        <v>8</v>
      </c>
      <c r="C15" s="32">
        <v>120</v>
      </c>
      <c r="D15" s="10">
        <v>390000</v>
      </c>
      <c r="E15" s="86">
        <v>1</v>
      </c>
      <c r="F15" s="96">
        <v>75</v>
      </c>
      <c r="G15" s="38">
        <v>5000</v>
      </c>
      <c r="H15" s="26">
        <v>2</v>
      </c>
      <c r="I15" s="39">
        <v>1</v>
      </c>
      <c r="J15" s="45">
        <f>$C$3/G15</f>
        <v>1.6</v>
      </c>
      <c r="K15" s="9">
        <f>H15*I15*E15</f>
        <v>2</v>
      </c>
      <c r="L15" s="42">
        <f t="shared" si="1"/>
        <v>3.2</v>
      </c>
      <c r="M15" s="46">
        <f t="shared" si="9"/>
        <v>240</v>
      </c>
      <c r="N15" s="51">
        <v>16000</v>
      </c>
      <c r="O15" s="26">
        <v>2</v>
      </c>
      <c r="P15" s="9">
        <v>3</v>
      </c>
      <c r="Q15" s="45">
        <f t="shared" si="2"/>
        <v>0.5</v>
      </c>
      <c r="R15" s="9">
        <f t="shared" si="10"/>
        <v>48</v>
      </c>
      <c r="S15" s="26">
        <f t="shared" si="3"/>
        <v>24</v>
      </c>
      <c r="T15" s="46">
        <f t="shared" si="11"/>
        <v>1800</v>
      </c>
      <c r="U15" s="49">
        <f t="shared" si="4"/>
        <v>27.2</v>
      </c>
      <c r="V15" s="46">
        <f t="shared" si="5"/>
        <v>2040</v>
      </c>
      <c r="W15" s="90" t="s">
        <v>64</v>
      </c>
      <c r="X15" s="14" t="s">
        <v>60</v>
      </c>
      <c r="Y15" s="14" t="s">
        <v>60</v>
      </c>
      <c r="Z15" s="14" t="s">
        <v>60</v>
      </c>
      <c r="AA15" s="14" t="s">
        <v>60</v>
      </c>
      <c r="AB15" s="14" t="s">
        <v>60</v>
      </c>
      <c r="AC15" s="9">
        <v>20</v>
      </c>
      <c r="AD15" s="9"/>
      <c r="AE15" s="15">
        <v>2500</v>
      </c>
      <c r="AF15" s="10"/>
      <c r="AG15" s="10">
        <f>13*AE15*AC15</f>
        <v>650000</v>
      </c>
      <c r="AH15" s="9" t="s">
        <v>134</v>
      </c>
      <c r="AI15" s="56">
        <f>D15*E15*5+AF15</f>
        <v>1950000</v>
      </c>
      <c r="AJ15" s="56">
        <f>AG15+V15*40*5</f>
        <v>1058000</v>
      </c>
      <c r="AK15" s="57">
        <f t="shared" si="7"/>
        <v>3008000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2:106" x14ac:dyDescent="0.2">
      <c r="B16" s="53" t="s">
        <v>13</v>
      </c>
      <c r="C16" s="32">
        <v>130</v>
      </c>
      <c r="D16" s="10">
        <v>450000</v>
      </c>
      <c r="E16" s="86"/>
      <c r="F16" s="96"/>
      <c r="G16" s="38">
        <v>8000</v>
      </c>
      <c r="H16" s="26">
        <v>1.5</v>
      </c>
      <c r="I16" s="39">
        <v>1</v>
      </c>
      <c r="J16" s="45">
        <f t="shared" si="0"/>
        <v>1</v>
      </c>
      <c r="K16" s="9">
        <f>H16*I16*E15</f>
        <v>1.5</v>
      </c>
      <c r="L16" s="42">
        <f t="shared" si="1"/>
        <v>1.5</v>
      </c>
      <c r="M16" s="46">
        <f>L16*F15</f>
        <v>112.5</v>
      </c>
      <c r="N16" s="51">
        <v>20000</v>
      </c>
      <c r="O16" s="26">
        <v>1.5</v>
      </c>
      <c r="P16" s="9">
        <v>4</v>
      </c>
      <c r="Q16" s="45">
        <f t="shared" si="2"/>
        <v>0.4</v>
      </c>
      <c r="R16" s="9">
        <f>O16*$C$4*P16*E15</f>
        <v>48</v>
      </c>
      <c r="S16" s="26">
        <f t="shared" si="3"/>
        <v>19.200000000000003</v>
      </c>
      <c r="T16" s="46">
        <f>S16*F15</f>
        <v>1440.0000000000002</v>
      </c>
      <c r="U16" s="49">
        <f t="shared" si="4"/>
        <v>20.700000000000003</v>
      </c>
      <c r="V16" s="46">
        <f t="shared" si="5"/>
        <v>1552.5000000000002</v>
      </c>
      <c r="W16" s="90"/>
      <c r="X16" s="14" t="s">
        <v>60</v>
      </c>
      <c r="Y16" s="14" t="s">
        <v>60</v>
      </c>
      <c r="Z16" s="14" t="s">
        <v>60</v>
      </c>
      <c r="AA16" s="14" t="s">
        <v>60</v>
      </c>
      <c r="AB16" s="14" t="s">
        <v>60</v>
      </c>
      <c r="AC16" s="9">
        <v>20</v>
      </c>
      <c r="AD16" s="9"/>
      <c r="AE16" s="16">
        <v>2500</v>
      </c>
      <c r="AF16" s="10"/>
      <c r="AG16" s="10">
        <f>9*AE16*AC16</f>
        <v>450000</v>
      </c>
      <c r="AH16" s="9" t="s">
        <v>135</v>
      </c>
      <c r="AI16" s="56">
        <f>D16*E15*5+AF16</f>
        <v>2250000</v>
      </c>
      <c r="AJ16" s="56">
        <f>AG16+V16*40*5</f>
        <v>760500</v>
      </c>
      <c r="AK16" s="57">
        <f t="shared" si="7"/>
        <v>3010500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2:106" x14ac:dyDescent="0.2">
      <c r="B17" s="54" t="s">
        <v>9</v>
      </c>
      <c r="C17" s="33">
        <v>110</v>
      </c>
      <c r="D17" s="18">
        <v>75000</v>
      </c>
      <c r="E17" s="87">
        <v>2</v>
      </c>
      <c r="F17" s="97">
        <v>75</v>
      </c>
      <c r="G17" s="40">
        <v>60000</v>
      </c>
      <c r="H17" s="27">
        <v>1</v>
      </c>
      <c r="I17" s="41">
        <v>1</v>
      </c>
      <c r="J17" s="47">
        <f t="shared" si="0"/>
        <v>0.13333333333333333</v>
      </c>
      <c r="K17" s="17">
        <f t="shared" si="8"/>
        <v>2</v>
      </c>
      <c r="L17" s="43">
        <f t="shared" si="1"/>
        <v>0.26666666666666666</v>
      </c>
      <c r="M17" s="48">
        <f t="shared" si="9"/>
        <v>20</v>
      </c>
      <c r="N17" s="52">
        <v>10000</v>
      </c>
      <c r="O17" s="27">
        <v>1</v>
      </c>
      <c r="P17" s="17">
        <v>2</v>
      </c>
      <c r="Q17" s="47">
        <f t="shared" si="2"/>
        <v>0.8</v>
      </c>
      <c r="R17" s="17">
        <f t="shared" si="10"/>
        <v>32</v>
      </c>
      <c r="S17" s="27">
        <f t="shared" si="3"/>
        <v>25.6</v>
      </c>
      <c r="T17" s="48">
        <f t="shared" si="11"/>
        <v>1920</v>
      </c>
      <c r="U17" s="50">
        <f t="shared" si="4"/>
        <v>25.866666666666667</v>
      </c>
      <c r="V17" s="48">
        <f t="shared" si="5"/>
        <v>1940</v>
      </c>
      <c r="W17" s="19" t="s">
        <v>61</v>
      </c>
      <c r="X17" s="19"/>
      <c r="Y17" s="19"/>
      <c r="Z17" s="19"/>
      <c r="AA17" s="19"/>
      <c r="AB17" s="19"/>
      <c r="AC17" s="17"/>
      <c r="AD17" s="17"/>
      <c r="AE17" s="17"/>
      <c r="AF17" s="17"/>
      <c r="AG17" s="17"/>
      <c r="AH17" s="17"/>
      <c r="AI17" s="58">
        <f t="shared" ref="AI17:AI19" si="12">D17*E17*5+AF17</f>
        <v>750000</v>
      </c>
      <c r="AJ17" s="58">
        <f>AG17+V17*40*5</f>
        <v>388000</v>
      </c>
      <c r="AK17" s="59">
        <f t="shared" si="7"/>
        <v>1138000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2:106" x14ac:dyDescent="0.2">
      <c r="B18" s="54" t="s">
        <v>14</v>
      </c>
      <c r="C18" s="33">
        <v>160</v>
      </c>
      <c r="D18" s="18">
        <v>100000</v>
      </c>
      <c r="E18" s="87"/>
      <c r="F18" s="97"/>
      <c r="G18" s="40">
        <v>80000</v>
      </c>
      <c r="H18" s="27">
        <v>0.5</v>
      </c>
      <c r="I18" s="41">
        <v>1</v>
      </c>
      <c r="J18" s="47">
        <f t="shared" si="0"/>
        <v>0.1</v>
      </c>
      <c r="K18" s="17">
        <f>H18*I18*E17</f>
        <v>1</v>
      </c>
      <c r="L18" s="43">
        <f t="shared" si="1"/>
        <v>0.1</v>
      </c>
      <c r="M18" s="48">
        <f>L18*F17</f>
        <v>7.5</v>
      </c>
      <c r="N18" s="52">
        <v>30000</v>
      </c>
      <c r="O18" s="27">
        <v>0.5</v>
      </c>
      <c r="P18" s="17">
        <v>2</v>
      </c>
      <c r="Q18" s="47">
        <f t="shared" si="2"/>
        <v>0.26666666666666666</v>
      </c>
      <c r="R18" s="17">
        <f>O18*$C$4*P18*E17</f>
        <v>16</v>
      </c>
      <c r="S18" s="27">
        <f t="shared" si="3"/>
        <v>4.2666666666666666</v>
      </c>
      <c r="T18" s="48">
        <f>S18*F17</f>
        <v>320</v>
      </c>
      <c r="U18" s="50">
        <f t="shared" si="4"/>
        <v>4.3666666666666663</v>
      </c>
      <c r="V18" s="48">
        <f t="shared" si="5"/>
        <v>327.5</v>
      </c>
      <c r="W18" s="19" t="s">
        <v>69</v>
      </c>
      <c r="X18" s="19"/>
      <c r="Y18" s="19"/>
      <c r="Z18" s="19"/>
      <c r="AA18" s="19"/>
      <c r="AB18" s="19"/>
      <c r="AC18" s="17"/>
      <c r="AD18" s="17"/>
      <c r="AE18" s="17"/>
      <c r="AF18" s="17"/>
      <c r="AG18" s="17"/>
      <c r="AH18" s="17"/>
      <c r="AI18" s="58">
        <f>D18*E17*5+AF18</f>
        <v>1000000</v>
      </c>
      <c r="AJ18" s="58">
        <f>AG18+V18*40*5</f>
        <v>65500</v>
      </c>
      <c r="AK18" s="59">
        <f t="shared" si="7"/>
        <v>1065500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2:106" x14ac:dyDescent="0.2">
      <c r="B19" s="53" t="s">
        <v>10</v>
      </c>
      <c r="C19" s="32">
        <v>175</v>
      </c>
      <c r="D19" s="10">
        <v>120000</v>
      </c>
      <c r="E19" s="86">
        <v>1</v>
      </c>
      <c r="F19" s="96">
        <v>100</v>
      </c>
      <c r="G19" s="38">
        <v>50000</v>
      </c>
      <c r="H19" s="26">
        <v>3</v>
      </c>
      <c r="I19" s="39">
        <v>2</v>
      </c>
      <c r="J19" s="45">
        <f t="shared" si="0"/>
        <v>0.16</v>
      </c>
      <c r="K19" s="9">
        <f t="shared" si="8"/>
        <v>6</v>
      </c>
      <c r="L19" s="42">
        <f t="shared" si="1"/>
        <v>0.96</v>
      </c>
      <c r="M19" s="46">
        <f t="shared" si="9"/>
        <v>96</v>
      </c>
      <c r="N19" s="51">
        <v>25000</v>
      </c>
      <c r="O19" s="26">
        <v>3</v>
      </c>
      <c r="P19" s="9">
        <v>2</v>
      </c>
      <c r="Q19" s="45">
        <f t="shared" si="2"/>
        <v>0.32</v>
      </c>
      <c r="R19" s="9">
        <f t="shared" si="10"/>
        <v>48</v>
      </c>
      <c r="S19" s="26">
        <f t="shared" si="3"/>
        <v>15.36</v>
      </c>
      <c r="T19" s="46">
        <f t="shared" si="11"/>
        <v>1536</v>
      </c>
      <c r="U19" s="49">
        <f t="shared" si="4"/>
        <v>16.32</v>
      </c>
      <c r="V19" s="46">
        <f t="shared" si="5"/>
        <v>1632</v>
      </c>
      <c r="W19" s="9"/>
      <c r="X19" s="14"/>
      <c r="Y19" s="14"/>
      <c r="Z19" s="14"/>
      <c r="AA19" s="14"/>
      <c r="AB19" s="14"/>
      <c r="AC19" s="9"/>
      <c r="AD19" s="9"/>
      <c r="AE19" s="9"/>
      <c r="AF19" s="9"/>
      <c r="AG19" s="9"/>
      <c r="AH19" s="9"/>
      <c r="AI19" s="56">
        <f t="shared" si="12"/>
        <v>600000</v>
      </c>
      <c r="AJ19" s="56">
        <f>AG19+V19*40*5</f>
        <v>326400</v>
      </c>
      <c r="AK19" s="57">
        <f t="shared" si="7"/>
        <v>926400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2:106" x14ac:dyDescent="0.2">
      <c r="B20" s="53" t="s">
        <v>11</v>
      </c>
      <c r="C20" s="32">
        <v>225</v>
      </c>
      <c r="D20" s="10">
        <v>270000</v>
      </c>
      <c r="E20" s="86"/>
      <c r="F20" s="96"/>
      <c r="G20" s="38">
        <v>120000</v>
      </c>
      <c r="H20" s="26">
        <v>3</v>
      </c>
      <c r="I20" s="39">
        <v>2</v>
      </c>
      <c r="J20" s="45">
        <f t="shared" si="0"/>
        <v>6.6666666666666666E-2</v>
      </c>
      <c r="K20" s="9">
        <f>H20*I20*E19</f>
        <v>6</v>
      </c>
      <c r="L20" s="42">
        <f t="shared" si="1"/>
        <v>0.4</v>
      </c>
      <c r="M20" s="46">
        <f>L20*F19</f>
        <v>40</v>
      </c>
      <c r="N20" s="51">
        <v>30000</v>
      </c>
      <c r="O20" s="26">
        <v>2</v>
      </c>
      <c r="P20" s="9">
        <v>2</v>
      </c>
      <c r="Q20" s="45">
        <f t="shared" si="2"/>
        <v>0.26666666666666666</v>
      </c>
      <c r="R20" s="9">
        <f>O20*$C$4*P20*E19</f>
        <v>32</v>
      </c>
      <c r="S20" s="26">
        <f t="shared" si="3"/>
        <v>8.5333333333333332</v>
      </c>
      <c r="T20" s="46">
        <f>S20*F19</f>
        <v>853.33333333333337</v>
      </c>
      <c r="U20" s="49">
        <f t="shared" si="4"/>
        <v>8.9333333333333336</v>
      </c>
      <c r="V20" s="46">
        <f t="shared" si="5"/>
        <v>893.33333333333337</v>
      </c>
      <c r="W20" s="9"/>
      <c r="X20" s="14"/>
      <c r="Y20" s="14"/>
      <c r="Z20" s="14"/>
      <c r="AA20" s="14"/>
      <c r="AB20" s="14"/>
      <c r="AC20" s="9"/>
      <c r="AD20" s="9"/>
      <c r="AE20" s="9"/>
      <c r="AF20" s="9"/>
      <c r="AG20" s="9"/>
      <c r="AH20" s="9"/>
      <c r="AI20" s="56">
        <f>D20*E19*5+AF20</f>
        <v>1350000</v>
      </c>
      <c r="AJ20" s="56">
        <f>AG20+V20*40*5</f>
        <v>178666.66666666669</v>
      </c>
      <c r="AK20" s="57">
        <f t="shared" si="7"/>
        <v>1528666.6666666667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2:106" x14ac:dyDescent="0.2">
      <c r="B21" s="55" t="s">
        <v>68</v>
      </c>
      <c r="C21" s="34">
        <v>750</v>
      </c>
      <c r="D21" s="35"/>
      <c r="E21" s="35"/>
      <c r="F21" s="36"/>
      <c r="G21" s="34">
        <v>4600</v>
      </c>
      <c r="H21" s="35"/>
      <c r="I21" s="36"/>
      <c r="J21" s="34"/>
      <c r="K21" s="35"/>
      <c r="L21" s="35"/>
      <c r="M21" s="36"/>
      <c r="N21" s="35"/>
      <c r="O21" s="35"/>
      <c r="P21" s="35"/>
      <c r="Q21" s="34"/>
      <c r="R21" s="35"/>
      <c r="S21" s="35"/>
      <c r="T21" s="36"/>
      <c r="U21" s="34">
        <v>485</v>
      </c>
      <c r="V21" s="3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23">
        <v>13500000</v>
      </c>
      <c r="AJ21" s="23">
        <v>5000000</v>
      </c>
      <c r="AK21" s="60">
        <v>18500000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2:106" x14ac:dyDescent="0.2">
      <c r="B22" s="1"/>
      <c r="C22" s="1" t="s">
        <v>70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2:106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2:106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2:106" ht="18" x14ac:dyDescent="0.2">
      <c r="B25" s="3" t="s">
        <v>128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2:106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2:106" ht="14" customHeight="1" x14ac:dyDescent="0.2">
      <c r="B27" s="106" t="s">
        <v>104</v>
      </c>
      <c r="C27" s="106" t="s">
        <v>1</v>
      </c>
      <c r="D27" s="117" t="s">
        <v>129</v>
      </c>
      <c r="E27" s="118"/>
      <c r="F27" s="118"/>
      <c r="G27" s="118"/>
      <c r="H27" s="118"/>
      <c r="I27" s="118"/>
      <c r="J27" s="120"/>
      <c r="K27" s="117" t="s">
        <v>107</v>
      </c>
      <c r="L27" s="118"/>
      <c r="M27" s="117" t="s">
        <v>121</v>
      </c>
      <c r="N27" s="118"/>
      <c r="O27" s="118"/>
      <c r="P27" s="118"/>
      <c r="Q27" s="120"/>
      <c r="R27" s="12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2:106" ht="14" customHeight="1" x14ac:dyDescent="0.2">
      <c r="B28" s="106"/>
      <c r="C28" s="106"/>
      <c r="D28" s="106" t="s">
        <v>105</v>
      </c>
      <c r="E28" s="132" t="s">
        <v>113</v>
      </c>
      <c r="F28" s="108" t="s">
        <v>112</v>
      </c>
      <c r="G28" s="108" t="s">
        <v>118</v>
      </c>
      <c r="H28" s="108" t="s">
        <v>120</v>
      </c>
      <c r="I28" s="108" t="s">
        <v>39</v>
      </c>
      <c r="J28" s="108" t="s">
        <v>67</v>
      </c>
      <c r="K28" s="106" t="s">
        <v>109</v>
      </c>
      <c r="L28" s="107"/>
      <c r="M28" s="128" t="s">
        <v>122</v>
      </c>
      <c r="N28" s="107" t="s">
        <v>123</v>
      </c>
      <c r="O28" s="107"/>
      <c r="P28" s="132" t="s">
        <v>116</v>
      </c>
      <c r="Q28" s="146"/>
      <c r="R28" s="12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2:106" x14ac:dyDescent="0.2">
      <c r="B29" s="106"/>
      <c r="C29" s="106"/>
      <c r="D29" s="106"/>
      <c r="E29" s="132"/>
      <c r="F29" s="107" t="s">
        <v>106</v>
      </c>
      <c r="G29" s="107"/>
      <c r="H29" s="107"/>
      <c r="I29" s="107"/>
      <c r="J29" s="115"/>
      <c r="K29" s="106"/>
      <c r="L29" s="107"/>
      <c r="M29" s="119" t="s">
        <v>114</v>
      </c>
      <c r="N29" s="109"/>
      <c r="O29" s="109"/>
      <c r="P29" s="132"/>
      <c r="Q29" s="146"/>
      <c r="R29" s="12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2:106" x14ac:dyDescent="0.2">
      <c r="B30" s="106"/>
      <c r="C30" s="125" t="s">
        <v>15</v>
      </c>
      <c r="D30" s="125" t="s">
        <v>30</v>
      </c>
      <c r="E30" s="110" t="s">
        <v>111</v>
      </c>
      <c r="F30" s="110" t="s">
        <v>111</v>
      </c>
      <c r="G30" s="110" t="s">
        <v>16</v>
      </c>
      <c r="H30" s="110" t="s">
        <v>16</v>
      </c>
      <c r="I30" s="110" t="s">
        <v>16</v>
      </c>
      <c r="J30" s="110" t="s">
        <v>16</v>
      </c>
      <c r="K30" s="125" t="s">
        <v>108</v>
      </c>
      <c r="L30" s="110" t="s">
        <v>110</v>
      </c>
      <c r="M30" s="129" t="s">
        <v>16</v>
      </c>
      <c r="N30" s="122"/>
      <c r="O30" s="122"/>
      <c r="P30" s="122" t="s">
        <v>16</v>
      </c>
      <c r="Q30" s="136"/>
      <c r="R30" s="137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2:106" x14ac:dyDescent="0.2">
      <c r="B31" s="112" t="s">
        <v>90</v>
      </c>
      <c r="C31" s="151">
        <f>C12+C13+C15+C18+C20</f>
        <v>753</v>
      </c>
      <c r="D31" s="127">
        <f>1/(1/G12+1/G13+1/G15+1/G18+1/G20)</f>
        <v>3423.6804564907275</v>
      </c>
      <c r="E31" s="123">
        <f>($U12+$U13+$U15+$U18+$U20)*5</f>
        <v>493.64117647058822</v>
      </c>
      <c r="F31" s="123">
        <f>($U12+$U13+$U15+$U18+$U20)*5*40</f>
        <v>19745.647058823528</v>
      </c>
      <c r="G31" s="133">
        <f>(V12+V13+V15+V18+V20)*5*40</f>
        <v>1525590.1960784313</v>
      </c>
      <c r="H31" s="155">
        <f>AI12+AI13+AI15+AI18+AI20+25000</f>
        <v>13400000</v>
      </c>
      <c r="I31" s="155">
        <f>AJ12+AJ13+AJ15+AJ18+AJ20</f>
        <v>3255590.1960784313</v>
      </c>
      <c r="J31" s="155">
        <f>AK12+AK13+AK15+AK18+AK20</f>
        <v>16630590.196078431</v>
      </c>
      <c r="K31" s="138">
        <f>(J31/J35)</f>
        <v>0.89895082140964488</v>
      </c>
      <c r="L31" s="133">
        <f>$J$35-J31</f>
        <v>1869409.8039215691</v>
      </c>
      <c r="M31" s="142">
        <f>G31/20</f>
        <v>76279.509803921566</v>
      </c>
      <c r="N31" s="144">
        <v>360000</v>
      </c>
      <c r="O31" s="144"/>
      <c r="P31" s="144">
        <f>L31-M31-N31</f>
        <v>1433130.2941176477</v>
      </c>
      <c r="Q31" s="147"/>
      <c r="R31" s="12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2:106" x14ac:dyDescent="0.2">
      <c r="B32" s="113" t="s">
        <v>91</v>
      </c>
      <c r="C32" s="151">
        <f>C12+C13+C16+C18+C20</f>
        <v>763</v>
      </c>
      <c r="D32" s="149">
        <f>1/(1/G12+1/G13+1/G16+1/G18+1/G20)</f>
        <v>4606.5259117082533</v>
      </c>
      <c r="E32" s="154">
        <f>(U12+U13+U16+U18+U20)*5</f>
        <v>461.14117647058828</v>
      </c>
      <c r="F32" s="124">
        <f>(U12+U13+U16+U18+U20)*5*40</f>
        <v>18445.647058823532</v>
      </c>
      <c r="G32" s="134">
        <f>(V12+V13+V16+V18+V20)*5*40</f>
        <v>1428090.1960784313</v>
      </c>
      <c r="H32" s="134">
        <f>AI12+AI13+AI16+AI18+AI20+25000</f>
        <v>13700000</v>
      </c>
      <c r="I32" s="155">
        <f>AJ12+AJ13+AJ16+AJ18+AJ20</f>
        <v>2958090.1960784313</v>
      </c>
      <c r="J32" s="155">
        <f>AK12+AK13+AK16+AK18+AK20</f>
        <v>16633090.196078431</v>
      </c>
      <c r="K32" s="139">
        <f>J32/J35</f>
        <v>0.89908595654478007</v>
      </c>
      <c r="L32" s="134">
        <f t="shared" ref="L32:L34" si="13">$J$35-J32</f>
        <v>1866909.8039215691</v>
      </c>
      <c r="M32" s="143">
        <f>G32/20</f>
        <v>71404.509803921566</v>
      </c>
      <c r="N32" s="145">
        <f>360000+50000</f>
        <v>410000</v>
      </c>
      <c r="O32" s="145"/>
      <c r="P32" s="145">
        <f t="shared" ref="P32:P34" si="14">L32-M32-N32</f>
        <v>1385505.2941176477</v>
      </c>
      <c r="Q32" s="148"/>
      <c r="R32" s="12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2:106" x14ac:dyDescent="0.2">
      <c r="B33" s="112" t="s">
        <v>94</v>
      </c>
      <c r="C33" s="126">
        <f>C12+C14+C16+C18+C19</f>
        <v>745</v>
      </c>
      <c r="D33" s="127">
        <f>1/(1/G12+1/G14+1/G16+1/G18+1/G19)</f>
        <v>4502.8142589118197</v>
      </c>
      <c r="E33" s="123">
        <f>($U12+$U14+$U16+$U18+$U19)*5</f>
        <v>496.86666666666667</v>
      </c>
      <c r="F33" s="123">
        <f>($U12+$U14+$U16+$U18+$U19)*5*40</f>
        <v>19874.666666666668</v>
      </c>
      <c r="G33" s="133">
        <f>(V12+V14+V16+V18+V19)*5*40</f>
        <v>1572200</v>
      </c>
      <c r="H33" s="155">
        <f>AI12+AI14+AI16+AI18+AI19+25000</f>
        <v>13450000</v>
      </c>
      <c r="I33" s="155">
        <f>AJ12+AJ14+AJ16+AJ18+AJ19</f>
        <v>3942200</v>
      </c>
      <c r="J33" s="155">
        <f>AK12+AK14+AK16+AK18+AK19</f>
        <v>17367200</v>
      </c>
      <c r="K33" s="138">
        <f>J33/J35</f>
        <v>0.93876756756756752</v>
      </c>
      <c r="L33" s="133">
        <f t="shared" si="13"/>
        <v>1132800</v>
      </c>
      <c r="M33" s="142">
        <f>G33/20</f>
        <v>78610</v>
      </c>
      <c r="N33" s="144">
        <f>50000</f>
        <v>50000</v>
      </c>
      <c r="O33" s="144"/>
      <c r="P33" s="144">
        <f t="shared" si="14"/>
        <v>1004190</v>
      </c>
      <c r="Q33" s="147"/>
      <c r="R33" s="12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2:106" x14ac:dyDescent="0.2">
      <c r="B34" s="114" t="s">
        <v>95</v>
      </c>
      <c r="C34" s="152">
        <f>C12+C14+C16+C18+C20</f>
        <v>795</v>
      </c>
      <c r="D34" s="150">
        <f>1/(1/G12+1/G14+1/G16+1/G18+1/G20)</f>
        <v>4752.4752475247524</v>
      </c>
      <c r="E34" s="153">
        <f>($U12+$U14+$U16+$U18+$U20)*5</f>
        <v>459.93333333333334</v>
      </c>
      <c r="F34" s="130">
        <f>($U12+$U14+$U16+$U18+$U20)*5*40</f>
        <v>18397.333333333332</v>
      </c>
      <c r="G34" s="135">
        <f>(V12+V14+V16+V18+V20)*5*40</f>
        <v>1424466.6666666665</v>
      </c>
      <c r="H34" s="135">
        <f>AI12+AI14+AI16+AI18+AI20+25000</f>
        <v>14200000</v>
      </c>
      <c r="I34" s="156">
        <f>AJ12+AJ14+AJ16+AJ18+AJ20</f>
        <v>3794466.6666666665</v>
      </c>
      <c r="J34" s="156">
        <f>AK12+AK14+AK16+AK18+AK20</f>
        <v>17969466.666666668</v>
      </c>
      <c r="K34" s="140">
        <f>J34/J35</f>
        <v>0.9713225225225226</v>
      </c>
      <c r="L34" s="134">
        <f t="shared" si="13"/>
        <v>530533.33333333209</v>
      </c>
      <c r="M34" s="143">
        <f t="shared" ref="M32:M34" si="15">G34/20</f>
        <v>71223.333333333328</v>
      </c>
      <c r="N34" s="145">
        <v>50000</v>
      </c>
      <c r="O34" s="145"/>
      <c r="P34" s="145">
        <f t="shared" si="14"/>
        <v>409309.99999999878</v>
      </c>
      <c r="Q34" s="148"/>
      <c r="R34" s="12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2:106" x14ac:dyDescent="0.2">
      <c r="B35" s="131" t="s">
        <v>117</v>
      </c>
      <c r="C35" s="5">
        <f>C21</f>
        <v>750</v>
      </c>
      <c r="D35" s="5">
        <f>G21</f>
        <v>4600</v>
      </c>
      <c r="E35" s="5">
        <f>U21</f>
        <v>485</v>
      </c>
      <c r="F35" s="5"/>
      <c r="G35" s="5"/>
      <c r="H35" s="23">
        <f>AI21</f>
        <v>13500000</v>
      </c>
      <c r="I35" s="23">
        <f>AJ21</f>
        <v>5000000</v>
      </c>
      <c r="J35" s="23">
        <f>AK21</f>
        <v>18500000</v>
      </c>
      <c r="K35" s="5"/>
      <c r="L35" s="5"/>
      <c r="M35" s="141"/>
      <c r="N35" s="111"/>
      <c r="O35" s="111"/>
      <c r="P35" s="111"/>
      <c r="Q35" s="116"/>
      <c r="R35" s="12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2:106" x14ac:dyDescent="0.2">
      <c r="B36" s="1"/>
      <c r="C36" s="1"/>
      <c r="D36" s="1"/>
      <c r="E36" s="1"/>
      <c r="F36" s="1"/>
      <c r="G36" s="1" t="s">
        <v>124</v>
      </c>
      <c r="H36" s="1"/>
      <c r="I36" s="1"/>
      <c r="J36" s="1"/>
      <c r="K36" s="1"/>
      <c r="L36" s="1"/>
      <c r="M36" s="1" t="s">
        <v>115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8" spans="2:106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2:106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2:106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2:106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2:106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2:106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2:106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2:106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2:106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2:106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2:106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2:106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2:106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2:106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2:106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2:106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2:106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2:106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2:106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2:106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2:106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2:106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2:106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2:106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2:106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2:106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2:106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2:106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2:106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2:106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2:106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2:106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2:106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2:106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2:106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2:106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2:106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2:106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2:106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2:106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2:106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2:106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2:106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2:106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2:106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2:106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2:106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2:106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2:106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2:106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2:106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2:106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2:106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2:106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2:106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2:106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2:106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2:106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2:106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2:106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2:106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2:106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2:106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2:106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</sheetData>
  <mergeCells count="64">
    <mergeCell ref="AH8:AH9"/>
    <mergeCell ref="P30:Q30"/>
    <mergeCell ref="U9:V9"/>
    <mergeCell ref="P31:Q31"/>
    <mergeCell ref="P32:Q32"/>
    <mergeCell ref="P33:Q33"/>
    <mergeCell ref="P34:Q34"/>
    <mergeCell ref="N28:O28"/>
    <mergeCell ref="M29:O29"/>
    <mergeCell ref="M30:O30"/>
    <mergeCell ref="N34:O34"/>
    <mergeCell ref="N33:O33"/>
    <mergeCell ref="N32:O32"/>
    <mergeCell ref="N31:O31"/>
    <mergeCell ref="C27:C29"/>
    <mergeCell ref="F29:J29"/>
    <mergeCell ref="E28:E29"/>
    <mergeCell ref="D27:J27"/>
    <mergeCell ref="K27:L27"/>
    <mergeCell ref="K28:L29"/>
    <mergeCell ref="P28:Q29"/>
    <mergeCell ref="M27:Q27"/>
    <mergeCell ref="D28:D29"/>
    <mergeCell ref="B7:B10"/>
    <mergeCell ref="B27:B30"/>
    <mergeCell ref="E11:E12"/>
    <mergeCell ref="G7:I7"/>
    <mergeCell ref="E8:E10"/>
    <mergeCell ref="F19:F20"/>
    <mergeCell ref="F17:F18"/>
    <mergeCell ref="F15:F16"/>
    <mergeCell ref="F13:F14"/>
    <mergeCell ref="F11:F12"/>
    <mergeCell ref="E15:E16"/>
    <mergeCell ref="E19:E20"/>
    <mergeCell ref="E17:E18"/>
    <mergeCell ref="W13:W14"/>
    <mergeCell ref="AF9:AG9"/>
    <mergeCell ref="AC8:AC9"/>
    <mergeCell ref="W15:W16"/>
    <mergeCell ref="X8:AB9"/>
    <mergeCell ref="E13:E14"/>
    <mergeCell ref="I8:I9"/>
    <mergeCell ref="H8:H9"/>
    <mergeCell ref="G8:G9"/>
    <mergeCell ref="F8:F9"/>
    <mergeCell ref="J9:M9"/>
    <mergeCell ref="Q9:T9"/>
    <mergeCell ref="P8:P9"/>
    <mergeCell ref="AI7:AK7"/>
    <mergeCell ref="AI9:AK9"/>
    <mergeCell ref="AI10:AK10"/>
    <mergeCell ref="AF10:AG10"/>
    <mergeCell ref="W8:W10"/>
    <mergeCell ref="U7:V7"/>
    <mergeCell ref="W7:AG7"/>
    <mergeCell ref="D8:D9"/>
    <mergeCell ref="C8:C9"/>
    <mergeCell ref="C7:F7"/>
    <mergeCell ref="J7:M7"/>
    <mergeCell ref="N7:P7"/>
    <mergeCell ref="Q7:T7"/>
    <mergeCell ref="O8:O9"/>
    <mergeCell ref="N8:N9"/>
  </mergeCells>
  <pageMargins left="0.7" right="0.7" top="0.75" bottom="0.75" header="0.3" footer="0.3"/>
  <ignoredErrors>
    <ignoredError sqref="K13 K19 K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0B4F-ECC9-1F45-A9FF-470773788064}">
  <dimension ref="B2:U38"/>
  <sheetViews>
    <sheetView workbookViewId="0">
      <selection activeCell="F42" sqref="F42"/>
    </sheetView>
  </sheetViews>
  <sheetFormatPr baseColWidth="10" defaultRowHeight="13" x14ac:dyDescent="0.15"/>
  <cols>
    <col min="1" max="3" width="10.83203125" style="1"/>
    <col min="4" max="4" width="5" style="1" customWidth="1"/>
    <col min="5" max="5" width="10.83203125" style="1"/>
    <col min="6" max="6" width="17.83203125" style="1" bestFit="1" customWidth="1"/>
    <col min="7" max="16384" width="10.83203125" style="1"/>
  </cols>
  <sheetData>
    <row r="2" spans="2:21" ht="16" customHeight="1" x14ac:dyDescent="0.2">
      <c r="B2" s="100" t="s">
        <v>127</v>
      </c>
      <c r="C2" s="85" t="s">
        <v>72</v>
      </c>
      <c r="D2" s="85"/>
      <c r="E2" s="85" t="s">
        <v>97</v>
      </c>
      <c r="F2" s="102" t="s">
        <v>76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3"/>
    </row>
    <row r="3" spans="2:21" x14ac:dyDescent="0.15">
      <c r="B3" s="100"/>
      <c r="C3" s="85"/>
      <c r="D3" s="85"/>
      <c r="E3" s="85"/>
      <c r="F3" s="4" t="s">
        <v>81</v>
      </c>
      <c r="G3" s="4" t="s">
        <v>82</v>
      </c>
      <c r="H3" s="4" t="s">
        <v>83</v>
      </c>
      <c r="I3" s="4" t="s">
        <v>84</v>
      </c>
      <c r="J3" s="4" t="s">
        <v>85</v>
      </c>
      <c r="K3" s="4" t="s">
        <v>86</v>
      </c>
      <c r="L3" s="4" t="s">
        <v>87</v>
      </c>
      <c r="M3" s="4" t="s">
        <v>88</v>
      </c>
      <c r="N3" s="4" t="s">
        <v>89</v>
      </c>
      <c r="O3" s="72" t="s">
        <v>90</v>
      </c>
      <c r="P3" s="4" t="s">
        <v>96</v>
      </c>
      <c r="Q3" s="72" t="s">
        <v>91</v>
      </c>
      <c r="R3" s="4" t="s">
        <v>92</v>
      </c>
      <c r="S3" s="4" t="s">
        <v>93</v>
      </c>
      <c r="T3" s="72" t="s">
        <v>94</v>
      </c>
      <c r="U3" s="157" t="s">
        <v>95</v>
      </c>
    </row>
    <row r="4" spans="2:21" x14ac:dyDescent="0.15">
      <c r="B4" s="100"/>
      <c r="C4" s="104" t="s">
        <v>73</v>
      </c>
      <c r="D4" s="5" t="s">
        <v>74</v>
      </c>
      <c r="E4" s="5">
        <f>'Substation SE Figures'!C11</f>
        <v>105</v>
      </c>
      <c r="F4" s="9">
        <f>$E$4</f>
        <v>105</v>
      </c>
      <c r="G4" s="9">
        <f t="shared" ref="G4:M4" si="0">$E$4</f>
        <v>105</v>
      </c>
      <c r="H4" s="9">
        <f t="shared" si="0"/>
        <v>105</v>
      </c>
      <c r="I4" s="9">
        <f t="shared" si="0"/>
        <v>105</v>
      </c>
      <c r="J4" s="9">
        <f t="shared" si="0"/>
        <v>105</v>
      </c>
      <c r="K4" s="9">
        <f t="shared" si="0"/>
        <v>105</v>
      </c>
      <c r="L4" s="9">
        <f t="shared" si="0"/>
        <v>105</v>
      </c>
      <c r="M4" s="9">
        <f t="shared" si="0"/>
        <v>105</v>
      </c>
      <c r="N4" s="9"/>
      <c r="O4" s="9"/>
      <c r="P4" s="9"/>
      <c r="Q4" s="9"/>
      <c r="R4" s="9"/>
      <c r="S4" s="9"/>
      <c r="T4" s="9"/>
      <c r="U4" s="62"/>
    </row>
    <row r="5" spans="2:21" x14ac:dyDescent="0.15">
      <c r="B5" s="100"/>
      <c r="C5" s="104"/>
      <c r="D5" s="5" t="s">
        <v>75</v>
      </c>
      <c r="E5" s="5">
        <f>'Substation SE Figures'!C12</f>
        <v>140</v>
      </c>
      <c r="F5" s="17"/>
      <c r="G5" s="17"/>
      <c r="H5" s="17"/>
      <c r="I5" s="17"/>
      <c r="J5" s="17"/>
      <c r="K5" s="17"/>
      <c r="L5" s="17"/>
      <c r="M5" s="17"/>
      <c r="N5" s="17">
        <f>$E$5</f>
        <v>140</v>
      </c>
      <c r="O5" s="17">
        <f t="shared" ref="O5:U5" si="1">$E$5</f>
        <v>140</v>
      </c>
      <c r="P5" s="17">
        <f t="shared" si="1"/>
        <v>140</v>
      </c>
      <c r="Q5" s="17">
        <f t="shared" si="1"/>
        <v>140</v>
      </c>
      <c r="R5" s="17">
        <f t="shared" si="1"/>
        <v>140</v>
      </c>
      <c r="S5" s="17">
        <f t="shared" si="1"/>
        <v>140</v>
      </c>
      <c r="T5" s="17">
        <f t="shared" si="1"/>
        <v>140</v>
      </c>
      <c r="U5" s="63">
        <f t="shared" si="1"/>
        <v>140</v>
      </c>
    </row>
    <row r="6" spans="2:21" x14ac:dyDescent="0.15">
      <c r="B6" s="100"/>
      <c r="C6" s="104" t="s">
        <v>77</v>
      </c>
      <c r="D6" s="5" t="s">
        <v>74</v>
      </c>
      <c r="E6" s="5">
        <f>'Substation SE Figures'!C13</f>
        <v>108</v>
      </c>
      <c r="F6" s="61">
        <f>$E$6</f>
        <v>108</v>
      </c>
      <c r="G6" s="61">
        <f t="shared" ref="G6:I6" si="2">$E$6</f>
        <v>108</v>
      </c>
      <c r="H6" s="61">
        <f t="shared" si="2"/>
        <v>108</v>
      </c>
      <c r="I6" s="61">
        <f t="shared" si="2"/>
        <v>108</v>
      </c>
      <c r="J6" s="61"/>
      <c r="K6" s="61"/>
      <c r="L6" s="61"/>
      <c r="M6" s="61"/>
      <c r="N6" s="61">
        <f t="shared" ref="N6:Q6" si="3">$E$6</f>
        <v>108</v>
      </c>
      <c r="O6" s="61">
        <f t="shared" si="3"/>
        <v>108</v>
      </c>
      <c r="P6" s="61">
        <f t="shared" si="3"/>
        <v>108</v>
      </c>
      <c r="Q6" s="61">
        <f t="shared" si="3"/>
        <v>108</v>
      </c>
      <c r="R6" s="61"/>
      <c r="S6" s="61"/>
      <c r="T6" s="61"/>
      <c r="U6" s="64"/>
    </row>
    <row r="7" spans="2:21" x14ac:dyDescent="0.15">
      <c r="B7" s="100"/>
      <c r="C7" s="104"/>
      <c r="D7" s="5" t="s">
        <v>75</v>
      </c>
      <c r="E7" s="5">
        <f>'Substation SE Figures'!C14</f>
        <v>140</v>
      </c>
      <c r="F7" s="17"/>
      <c r="G7" s="17"/>
      <c r="H7" s="17"/>
      <c r="I7" s="17"/>
      <c r="J7" s="17">
        <f>$E$7</f>
        <v>140</v>
      </c>
      <c r="K7" s="17">
        <f>$E$7</f>
        <v>140</v>
      </c>
      <c r="L7" s="17">
        <f>$E$7</f>
        <v>140</v>
      </c>
      <c r="M7" s="17">
        <f>$E$7</f>
        <v>140</v>
      </c>
      <c r="N7" s="17"/>
      <c r="O7" s="17"/>
      <c r="P7" s="17"/>
      <c r="Q7" s="17"/>
      <c r="R7" s="17">
        <f>$E$7</f>
        <v>140</v>
      </c>
      <c r="S7" s="17">
        <f>$E$7</f>
        <v>140</v>
      </c>
      <c r="T7" s="17">
        <f>$E$7</f>
        <v>140</v>
      </c>
      <c r="U7" s="63">
        <f>$E$7</f>
        <v>140</v>
      </c>
    </row>
    <row r="8" spans="2:21" x14ac:dyDescent="0.15">
      <c r="B8" s="100"/>
      <c r="C8" s="104" t="s">
        <v>78</v>
      </c>
      <c r="D8" s="5" t="s">
        <v>74</v>
      </c>
      <c r="E8" s="5">
        <f>'Substation SE Figures'!C15</f>
        <v>120</v>
      </c>
      <c r="F8" s="61">
        <f>$E$8</f>
        <v>120</v>
      </c>
      <c r="G8" s="61">
        <f>$E$8</f>
        <v>120</v>
      </c>
      <c r="H8" s="61"/>
      <c r="I8" s="61"/>
      <c r="J8" s="61">
        <f>$E$8</f>
        <v>120</v>
      </c>
      <c r="K8" s="61">
        <f>$E$8</f>
        <v>120</v>
      </c>
      <c r="L8" s="61"/>
      <c r="M8" s="61"/>
      <c r="N8" s="61">
        <f>$E$8</f>
        <v>120</v>
      </c>
      <c r="O8" s="61">
        <f>$E$8</f>
        <v>120</v>
      </c>
      <c r="P8" s="61"/>
      <c r="Q8" s="61"/>
      <c r="R8" s="61">
        <f>$E$8</f>
        <v>120</v>
      </c>
      <c r="S8" s="61">
        <f>$E$8</f>
        <v>120</v>
      </c>
      <c r="T8" s="61"/>
      <c r="U8" s="64"/>
    </row>
    <row r="9" spans="2:21" x14ac:dyDescent="0.15">
      <c r="B9" s="100"/>
      <c r="C9" s="104"/>
      <c r="D9" s="5" t="s">
        <v>75</v>
      </c>
      <c r="E9" s="5">
        <f>'Substation SE Figures'!C16</f>
        <v>130</v>
      </c>
      <c r="F9" s="17"/>
      <c r="G9" s="17"/>
      <c r="H9" s="17">
        <f>$E$9</f>
        <v>130</v>
      </c>
      <c r="I9" s="17">
        <f>$E$9</f>
        <v>130</v>
      </c>
      <c r="J9" s="17"/>
      <c r="K9" s="17"/>
      <c r="L9" s="17">
        <f>$E$9</f>
        <v>130</v>
      </c>
      <c r="M9" s="17">
        <f>$E$9</f>
        <v>130</v>
      </c>
      <c r="N9" s="17"/>
      <c r="O9" s="17"/>
      <c r="P9" s="17">
        <f>$E$9</f>
        <v>130</v>
      </c>
      <c r="Q9" s="17">
        <f>$E$9</f>
        <v>130</v>
      </c>
      <c r="R9" s="17"/>
      <c r="S9" s="17"/>
      <c r="T9" s="17">
        <f>$E$9</f>
        <v>130</v>
      </c>
      <c r="U9" s="63">
        <f>$E$9</f>
        <v>130</v>
      </c>
    </row>
    <row r="10" spans="2:21" x14ac:dyDescent="0.15">
      <c r="B10" s="100"/>
      <c r="C10" s="104" t="s">
        <v>79</v>
      </c>
      <c r="D10" s="5" t="s">
        <v>74</v>
      </c>
      <c r="E10" s="5">
        <f>'Substation SE Figures'!C17</f>
        <v>110</v>
      </c>
      <c r="F10" s="61">
        <f t="shared" ref="F10:M10" si="4">$E$10</f>
        <v>110</v>
      </c>
      <c r="G10" s="61">
        <f t="shared" si="4"/>
        <v>110</v>
      </c>
      <c r="H10" s="61">
        <f t="shared" si="4"/>
        <v>110</v>
      </c>
      <c r="I10" s="61">
        <f t="shared" si="4"/>
        <v>110</v>
      </c>
      <c r="J10" s="61">
        <f t="shared" si="4"/>
        <v>110</v>
      </c>
      <c r="K10" s="61">
        <f t="shared" si="4"/>
        <v>110</v>
      </c>
      <c r="L10" s="61">
        <f t="shared" si="4"/>
        <v>110</v>
      </c>
      <c r="M10" s="61">
        <f t="shared" si="4"/>
        <v>110</v>
      </c>
      <c r="N10" s="61"/>
      <c r="O10" s="61"/>
      <c r="P10" s="61"/>
      <c r="Q10" s="61"/>
      <c r="R10" s="61"/>
      <c r="S10" s="61"/>
      <c r="T10" s="61"/>
      <c r="U10" s="64"/>
    </row>
    <row r="11" spans="2:21" x14ac:dyDescent="0.15">
      <c r="B11" s="100"/>
      <c r="C11" s="104"/>
      <c r="D11" s="5" t="s">
        <v>75</v>
      </c>
      <c r="E11" s="5">
        <f>'Substation SE Figures'!C18</f>
        <v>160</v>
      </c>
      <c r="F11" s="17"/>
      <c r="G11" s="17"/>
      <c r="H11" s="17"/>
      <c r="I11" s="17"/>
      <c r="J11" s="17"/>
      <c r="K11" s="17"/>
      <c r="L11" s="17"/>
      <c r="M11" s="17"/>
      <c r="N11" s="17">
        <f>$E$11</f>
        <v>160</v>
      </c>
      <c r="O11" s="17">
        <f t="shared" ref="O11:U11" si="5">$E$11</f>
        <v>160</v>
      </c>
      <c r="P11" s="17">
        <f t="shared" si="5"/>
        <v>160</v>
      </c>
      <c r="Q11" s="17">
        <f t="shared" si="5"/>
        <v>160</v>
      </c>
      <c r="R11" s="17">
        <f t="shared" si="5"/>
        <v>160</v>
      </c>
      <c r="S11" s="17">
        <f t="shared" si="5"/>
        <v>160</v>
      </c>
      <c r="T11" s="17">
        <f t="shared" si="5"/>
        <v>160</v>
      </c>
      <c r="U11" s="63">
        <f t="shared" si="5"/>
        <v>160</v>
      </c>
    </row>
    <row r="12" spans="2:21" x14ac:dyDescent="0.15">
      <c r="B12" s="100"/>
      <c r="C12" s="104" t="s">
        <v>80</v>
      </c>
      <c r="D12" s="5" t="s">
        <v>74</v>
      </c>
      <c r="E12" s="5">
        <f>'Substation SE Figures'!C19</f>
        <v>175</v>
      </c>
      <c r="F12" s="61">
        <f>$E$12</f>
        <v>175</v>
      </c>
      <c r="G12" s="61"/>
      <c r="H12" s="61">
        <v>175</v>
      </c>
      <c r="I12" s="61"/>
      <c r="J12" s="65">
        <v>175</v>
      </c>
      <c r="K12" s="61"/>
      <c r="L12" s="65">
        <v>175</v>
      </c>
      <c r="M12" s="61"/>
      <c r="N12" s="65">
        <v>175</v>
      </c>
      <c r="O12" s="61"/>
      <c r="P12" s="65">
        <v>175</v>
      </c>
      <c r="Q12" s="61"/>
      <c r="R12" s="65">
        <v>175</v>
      </c>
      <c r="S12" s="61"/>
      <c r="T12" s="65">
        <v>175</v>
      </c>
      <c r="U12" s="64"/>
    </row>
    <row r="13" spans="2:21" x14ac:dyDescent="0.15">
      <c r="B13" s="100"/>
      <c r="C13" s="104"/>
      <c r="D13" s="5" t="s">
        <v>75</v>
      </c>
      <c r="E13" s="5">
        <f>'Substation SE Figures'!C20</f>
        <v>225</v>
      </c>
      <c r="F13" s="17"/>
      <c r="G13" s="17">
        <f>$E$13</f>
        <v>225</v>
      </c>
      <c r="H13" s="17"/>
      <c r="I13" s="17">
        <f>$E$13</f>
        <v>225</v>
      </c>
      <c r="J13" s="17"/>
      <c r="K13" s="17">
        <f>$E$13</f>
        <v>225</v>
      </c>
      <c r="L13" s="17"/>
      <c r="M13" s="17">
        <f>$E$13</f>
        <v>225</v>
      </c>
      <c r="N13" s="17"/>
      <c r="O13" s="17">
        <f>$E$13</f>
        <v>225</v>
      </c>
      <c r="P13" s="17"/>
      <c r="Q13" s="17">
        <f>$E$13</f>
        <v>225</v>
      </c>
      <c r="R13" s="17"/>
      <c r="S13" s="17">
        <f>$E$13</f>
        <v>225</v>
      </c>
      <c r="T13" s="17"/>
      <c r="U13" s="63">
        <f>$E$13</f>
        <v>225</v>
      </c>
    </row>
    <row r="14" spans="2:21" ht="16" customHeight="1" x14ac:dyDescent="0.15">
      <c r="B14" s="79" t="s">
        <v>100</v>
      </c>
      <c r="C14" s="79"/>
      <c r="D14" s="79"/>
      <c r="E14" s="79"/>
      <c r="F14" s="5">
        <f>SUM(F4:F13)</f>
        <v>618</v>
      </c>
      <c r="G14" s="5">
        <f t="shared" ref="G14:U14" si="6">SUM(G4:G13)</f>
        <v>668</v>
      </c>
      <c r="H14" s="5">
        <f t="shared" si="6"/>
        <v>628</v>
      </c>
      <c r="I14" s="5">
        <f t="shared" si="6"/>
        <v>678</v>
      </c>
      <c r="J14" s="5">
        <f t="shared" si="6"/>
        <v>650</v>
      </c>
      <c r="K14" s="5">
        <f t="shared" si="6"/>
        <v>700</v>
      </c>
      <c r="L14" s="5">
        <f t="shared" si="6"/>
        <v>660</v>
      </c>
      <c r="M14" s="5">
        <f t="shared" si="6"/>
        <v>710</v>
      </c>
      <c r="N14" s="5">
        <f t="shared" si="6"/>
        <v>703</v>
      </c>
      <c r="O14" s="66">
        <f t="shared" si="6"/>
        <v>753</v>
      </c>
      <c r="P14" s="5">
        <f t="shared" si="6"/>
        <v>713</v>
      </c>
      <c r="Q14" s="66">
        <f t="shared" si="6"/>
        <v>763</v>
      </c>
      <c r="R14" s="5">
        <f t="shared" si="6"/>
        <v>735</v>
      </c>
      <c r="S14" s="66">
        <f t="shared" si="6"/>
        <v>785</v>
      </c>
      <c r="T14" s="66">
        <f t="shared" si="6"/>
        <v>745</v>
      </c>
      <c r="U14" s="73">
        <f t="shared" si="6"/>
        <v>795</v>
      </c>
    </row>
    <row r="15" spans="2:21" ht="13" customHeight="1" x14ac:dyDescent="0.15">
      <c r="B15" s="100" t="s">
        <v>98</v>
      </c>
      <c r="C15" s="101" t="s">
        <v>73</v>
      </c>
      <c r="D15" s="23" t="s">
        <v>74</v>
      </c>
      <c r="E15" s="23">
        <f>'Substation SE Figures'!AI11</f>
        <v>5000000</v>
      </c>
      <c r="F15" s="56">
        <f>$E15</f>
        <v>5000000</v>
      </c>
      <c r="G15" s="56">
        <f t="shared" ref="G15:M15" si="7">$E15</f>
        <v>5000000</v>
      </c>
      <c r="H15" s="56">
        <f t="shared" si="7"/>
        <v>5000000</v>
      </c>
      <c r="I15" s="56">
        <f t="shared" si="7"/>
        <v>5000000</v>
      </c>
      <c r="J15" s="56">
        <f t="shared" si="7"/>
        <v>5000000</v>
      </c>
      <c r="K15" s="56">
        <f t="shared" si="7"/>
        <v>5000000</v>
      </c>
      <c r="L15" s="56">
        <f t="shared" si="7"/>
        <v>5000000</v>
      </c>
      <c r="M15" s="56">
        <f t="shared" si="7"/>
        <v>5000000</v>
      </c>
      <c r="N15" s="56"/>
      <c r="O15" s="56"/>
      <c r="P15" s="56"/>
      <c r="Q15" s="56"/>
      <c r="R15" s="56"/>
      <c r="S15" s="56"/>
      <c r="T15" s="56"/>
      <c r="U15" s="67"/>
    </row>
    <row r="16" spans="2:21" x14ac:dyDescent="0.15">
      <c r="B16" s="100"/>
      <c r="C16" s="101"/>
      <c r="D16" s="23" t="s">
        <v>75</v>
      </c>
      <c r="E16" s="23">
        <f>'Substation SE Figures'!AI12</f>
        <v>7200000</v>
      </c>
      <c r="F16" s="58"/>
      <c r="G16" s="58"/>
      <c r="H16" s="58"/>
      <c r="I16" s="58"/>
      <c r="J16" s="58"/>
      <c r="K16" s="58"/>
      <c r="L16" s="58"/>
      <c r="M16" s="58"/>
      <c r="N16" s="58">
        <f>$E16</f>
        <v>7200000</v>
      </c>
      <c r="O16" s="58">
        <f t="shared" ref="O16:T16" si="8">$E16</f>
        <v>7200000</v>
      </c>
      <c r="P16" s="58">
        <f t="shared" si="8"/>
        <v>7200000</v>
      </c>
      <c r="Q16" s="58">
        <f t="shared" si="8"/>
        <v>7200000</v>
      </c>
      <c r="R16" s="58">
        <f t="shared" si="8"/>
        <v>7200000</v>
      </c>
      <c r="S16" s="58">
        <f t="shared" si="8"/>
        <v>7200000</v>
      </c>
      <c r="T16" s="58">
        <f t="shared" si="8"/>
        <v>7200000</v>
      </c>
      <c r="U16" s="74">
        <f>$E16</f>
        <v>7200000</v>
      </c>
    </row>
    <row r="17" spans="2:21" x14ac:dyDescent="0.15">
      <c r="B17" s="100"/>
      <c r="C17" s="101" t="s">
        <v>77</v>
      </c>
      <c r="D17" s="23" t="s">
        <v>74</v>
      </c>
      <c r="E17" s="23">
        <f>'Substation SE Figures'!AI13</f>
        <v>1875000</v>
      </c>
      <c r="F17" s="68">
        <f>$E17</f>
        <v>1875000</v>
      </c>
      <c r="G17" s="68">
        <f t="shared" ref="G17:I17" si="9">$E17</f>
        <v>1875000</v>
      </c>
      <c r="H17" s="68">
        <f t="shared" si="9"/>
        <v>1875000</v>
      </c>
      <c r="I17" s="68">
        <f t="shared" si="9"/>
        <v>1875000</v>
      </c>
      <c r="J17" s="68"/>
      <c r="K17" s="68"/>
      <c r="L17" s="68"/>
      <c r="M17" s="68"/>
      <c r="N17" s="68">
        <f t="shared" ref="N17:Q17" si="10">$E17</f>
        <v>1875000</v>
      </c>
      <c r="O17" s="68">
        <f t="shared" si="10"/>
        <v>1875000</v>
      </c>
      <c r="P17" s="68">
        <f t="shared" si="10"/>
        <v>1875000</v>
      </c>
      <c r="Q17" s="68">
        <f t="shared" si="10"/>
        <v>1875000</v>
      </c>
      <c r="R17" s="68"/>
      <c r="S17" s="68"/>
      <c r="T17" s="68"/>
      <c r="U17" s="69"/>
    </row>
    <row r="18" spans="2:21" x14ac:dyDescent="0.15">
      <c r="B18" s="100"/>
      <c r="C18" s="101"/>
      <c r="D18" s="23" t="s">
        <v>75</v>
      </c>
      <c r="E18" s="23">
        <f>'Substation SE Figures'!AI14</f>
        <v>2375000</v>
      </c>
      <c r="F18" s="58"/>
      <c r="G18" s="58"/>
      <c r="H18" s="58"/>
      <c r="I18" s="58"/>
      <c r="J18" s="58">
        <f>$E18</f>
        <v>2375000</v>
      </c>
      <c r="K18" s="58">
        <f t="shared" ref="K18:L18" si="11">$E18</f>
        <v>2375000</v>
      </c>
      <c r="L18" s="58">
        <f t="shared" si="11"/>
        <v>2375000</v>
      </c>
      <c r="M18" s="58">
        <f>$E18</f>
        <v>2375000</v>
      </c>
      <c r="N18" s="58"/>
      <c r="O18" s="58"/>
      <c r="P18" s="58"/>
      <c r="Q18" s="58"/>
      <c r="R18" s="58">
        <f>$E18</f>
        <v>2375000</v>
      </c>
      <c r="S18" s="58">
        <f>$E18</f>
        <v>2375000</v>
      </c>
      <c r="T18" s="58">
        <f>$E18</f>
        <v>2375000</v>
      </c>
      <c r="U18" s="74">
        <f>$E18</f>
        <v>2375000</v>
      </c>
    </row>
    <row r="19" spans="2:21" x14ac:dyDescent="0.15">
      <c r="B19" s="100"/>
      <c r="C19" s="101" t="s">
        <v>78</v>
      </c>
      <c r="D19" s="23" t="s">
        <v>74</v>
      </c>
      <c r="E19" s="23">
        <f>'Substation SE Figures'!AI15</f>
        <v>1950000</v>
      </c>
      <c r="F19" s="68">
        <f>$E19</f>
        <v>1950000</v>
      </c>
      <c r="G19" s="68">
        <f>$E19</f>
        <v>1950000</v>
      </c>
      <c r="H19" s="68"/>
      <c r="I19" s="68"/>
      <c r="J19" s="68">
        <f>$E19</f>
        <v>1950000</v>
      </c>
      <c r="K19" s="68">
        <f>$E19</f>
        <v>1950000</v>
      </c>
      <c r="L19" s="68"/>
      <c r="M19" s="68"/>
      <c r="N19" s="68">
        <f>$E19</f>
        <v>1950000</v>
      </c>
      <c r="O19" s="68">
        <f>$E19</f>
        <v>1950000</v>
      </c>
      <c r="P19" s="68"/>
      <c r="Q19" s="68"/>
      <c r="R19" s="68">
        <f>$E19</f>
        <v>1950000</v>
      </c>
      <c r="S19" s="68">
        <f>$E19</f>
        <v>1950000</v>
      </c>
      <c r="T19" s="68"/>
      <c r="U19" s="69"/>
    </row>
    <row r="20" spans="2:21" x14ac:dyDescent="0.15">
      <c r="B20" s="100"/>
      <c r="C20" s="101"/>
      <c r="D20" s="23" t="s">
        <v>75</v>
      </c>
      <c r="E20" s="23">
        <f>'Substation SE Figures'!AI16</f>
        <v>2250000</v>
      </c>
      <c r="F20" s="58"/>
      <c r="G20" s="58"/>
      <c r="H20" s="58">
        <f>$E20</f>
        <v>2250000</v>
      </c>
      <c r="I20" s="58">
        <f>$E20</f>
        <v>2250000</v>
      </c>
      <c r="J20" s="58"/>
      <c r="K20" s="58"/>
      <c r="L20" s="58">
        <f>$E20</f>
        <v>2250000</v>
      </c>
      <c r="M20" s="58">
        <f>$E20</f>
        <v>2250000</v>
      </c>
      <c r="N20" s="58"/>
      <c r="O20" s="58"/>
      <c r="P20" s="58">
        <f>$E20</f>
        <v>2250000</v>
      </c>
      <c r="Q20" s="58">
        <f>$E20</f>
        <v>2250000</v>
      </c>
      <c r="R20" s="58"/>
      <c r="S20" s="58"/>
      <c r="T20" s="58">
        <f>$E20</f>
        <v>2250000</v>
      </c>
      <c r="U20" s="74">
        <f>$E20</f>
        <v>2250000</v>
      </c>
    </row>
    <row r="21" spans="2:21" x14ac:dyDescent="0.15">
      <c r="B21" s="100"/>
      <c r="C21" s="101" t="s">
        <v>79</v>
      </c>
      <c r="D21" s="23" t="s">
        <v>74</v>
      </c>
      <c r="E21" s="23">
        <f>'Substation SE Figures'!AI17</f>
        <v>750000</v>
      </c>
      <c r="F21" s="68">
        <f>$E21</f>
        <v>750000</v>
      </c>
      <c r="G21" s="68">
        <f t="shared" ref="G21:M21" si="12">$E21</f>
        <v>750000</v>
      </c>
      <c r="H21" s="68">
        <f t="shared" si="12"/>
        <v>750000</v>
      </c>
      <c r="I21" s="68">
        <f t="shared" si="12"/>
        <v>750000</v>
      </c>
      <c r="J21" s="68">
        <f t="shared" si="12"/>
        <v>750000</v>
      </c>
      <c r="K21" s="68">
        <f t="shared" si="12"/>
        <v>750000</v>
      </c>
      <c r="L21" s="68">
        <f t="shared" si="12"/>
        <v>750000</v>
      </c>
      <c r="M21" s="68">
        <f t="shared" si="12"/>
        <v>750000</v>
      </c>
      <c r="N21" s="68"/>
      <c r="O21" s="68"/>
      <c r="P21" s="68"/>
      <c r="Q21" s="68"/>
      <c r="R21" s="68"/>
      <c r="S21" s="68"/>
      <c r="T21" s="68"/>
      <c r="U21" s="69"/>
    </row>
    <row r="22" spans="2:21" x14ac:dyDescent="0.15">
      <c r="B22" s="100"/>
      <c r="C22" s="101"/>
      <c r="D22" s="23" t="s">
        <v>75</v>
      </c>
      <c r="E22" s="23">
        <f>'Substation SE Figures'!AI18</f>
        <v>1000000</v>
      </c>
      <c r="F22" s="58"/>
      <c r="G22" s="58"/>
      <c r="H22" s="58"/>
      <c r="I22" s="58"/>
      <c r="J22" s="58"/>
      <c r="K22" s="58"/>
      <c r="L22" s="58"/>
      <c r="M22" s="58"/>
      <c r="N22" s="58">
        <f>$E22</f>
        <v>1000000</v>
      </c>
      <c r="O22" s="58">
        <f t="shared" ref="O22:U22" si="13">$E22</f>
        <v>1000000</v>
      </c>
      <c r="P22" s="58">
        <f t="shared" si="13"/>
        <v>1000000</v>
      </c>
      <c r="Q22" s="58">
        <f t="shared" si="13"/>
        <v>1000000</v>
      </c>
      <c r="R22" s="58">
        <f t="shared" si="13"/>
        <v>1000000</v>
      </c>
      <c r="S22" s="58">
        <f t="shared" si="13"/>
        <v>1000000</v>
      </c>
      <c r="T22" s="58">
        <f t="shared" si="13"/>
        <v>1000000</v>
      </c>
      <c r="U22" s="74">
        <f t="shared" si="13"/>
        <v>1000000</v>
      </c>
    </row>
    <row r="23" spans="2:21" x14ac:dyDescent="0.15">
      <c r="B23" s="100"/>
      <c r="C23" s="101" t="s">
        <v>80</v>
      </c>
      <c r="D23" s="23" t="s">
        <v>74</v>
      </c>
      <c r="E23" s="23">
        <f>'Substation SE Figures'!AI19</f>
        <v>600000</v>
      </c>
      <c r="F23" s="68">
        <f>$E23</f>
        <v>600000</v>
      </c>
      <c r="G23" s="68"/>
      <c r="H23" s="68">
        <f>$E23</f>
        <v>600000</v>
      </c>
      <c r="I23" s="68"/>
      <c r="J23" s="68">
        <f>$E23</f>
        <v>600000</v>
      </c>
      <c r="K23" s="68"/>
      <c r="L23" s="68">
        <f>$E23</f>
        <v>600000</v>
      </c>
      <c r="M23" s="68"/>
      <c r="N23" s="68">
        <f>$E23</f>
        <v>600000</v>
      </c>
      <c r="O23" s="68"/>
      <c r="P23" s="68">
        <f>$E23</f>
        <v>600000</v>
      </c>
      <c r="Q23" s="68"/>
      <c r="R23" s="68">
        <f>$E23</f>
        <v>600000</v>
      </c>
      <c r="S23" s="68"/>
      <c r="T23" s="68">
        <f>$E23</f>
        <v>600000</v>
      </c>
      <c r="U23" s="69"/>
    </row>
    <row r="24" spans="2:21" x14ac:dyDescent="0.15">
      <c r="B24" s="100"/>
      <c r="C24" s="101"/>
      <c r="D24" s="23" t="s">
        <v>75</v>
      </c>
      <c r="E24" s="23">
        <f>'Substation SE Figures'!AI20</f>
        <v>1350000</v>
      </c>
      <c r="F24" s="58"/>
      <c r="G24" s="58">
        <f>$E24</f>
        <v>1350000</v>
      </c>
      <c r="H24" s="58"/>
      <c r="I24" s="58">
        <f>$E24</f>
        <v>1350000</v>
      </c>
      <c r="J24" s="58"/>
      <c r="K24" s="58">
        <f>$E24</f>
        <v>1350000</v>
      </c>
      <c r="L24" s="58"/>
      <c r="M24" s="58">
        <f>$E24</f>
        <v>1350000</v>
      </c>
      <c r="N24" s="58"/>
      <c r="O24" s="58">
        <f>$E24</f>
        <v>1350000</v>
      </c>
      <c r="P24" s="58"/>
      <c r="Q24" s="58">
        <f>$E24</f>
        <v>1350000</v>
      </c>
      <c r="R24" s="58"/>
      <c r="S24" s="58">
        <f>$E24</f>
        <v>1350000</v>
      </c>
      <c r="T24" s="58"/>
      <c r="U24" s="74">
        <f>$E24</f>
        <v>1350000</v>
      </c>
    </row>
    <row r="25" spans="2:21" ht="16" customHeight="1" x14ac:dyDescent="0.15">
      <c r="B25" s="98" t="s">
        <v>99</v>
      </c>
      <c r="C25" s="98"/>
      <c r="D25" s="98"/>
      <c r="E25" s="98"/>
      <c r="F25" s="70">
        <f>SUM(F15:F24)</f>
        <v>10175000</v>
      </c>
      <c r="G25" s="70">
        <f>SUM(G15:G24)</f>
        <v>10925000</v>
      </c>
      <c r="H25" s="70">
        <f t="shared" ref="H25" si="14">SUM(H15:H24)</f>
        <v>10475000</v>
      </c>
      <c r="I25" s="70">
        <f t="shared" ref="I25" si="15">SUM(I15:I24)</f>
        <v>11225000</v>
      </c>
      <c r="J25" s="70">
        <f t="shared" ref="J25" si="16">SUM(J15:J24)</f>
        <v>10675000</v>
      </c>
      <c r="K25" s="70">
        <f t="shared" ref="K25" si="17">SUM(K15:K24)</f>
        <v>11425000</v>
      </c>
      <c r="L25" s="70">
        <f t="shared" ref="L25" si="18">SUM(L15:L24)</f>
        <v>10975000</v>
      </c>
      <c r="M25" s="70">
        <f t="shared" ref="M25" si="19">SUM(M15:M24)</f>
        <v>11725000</v>
      </c>
      <c r="N25" s="70">
        <f t="shared" ref="N25" si="20">SUM(N15:N24)</f>
        <v>12625000</v>
      </c>
      <c r="O25" s="70">
        <f t="shared" ref="O25" si="21">SUM(O15:O24)</f>
        <v>13375000</v>
      </c>
      <c r="P25" s="70">
        <f t="shared" ref="P25" si="22">SUM(P15:P24)</f>
        <v>12925000</v>
      </c>
      <c r="Q25" s="70">
        <f t="shared" ref="Q25" si="23">SUM(Q15:Q24)</f>
        <v>13675000</v>
      </c>
      <c r="R25" s="70">
        <f t="shared" ref="R25" si="24">SUM(R15:R24)</f>
        <v>13125000</v>
      </c>
      <c r="S25" s="23">
        <f t="shared" ref="S25" si="25">SUM(S15:S24)</f>
        <v>13875000</v>
      </c>
      <c r="T25" s="70">
        <f t="shared" ref="T25" si="26">SUM(T15:T24)</f>
        <v>13425000</v>
      </c>
      <c r="U25" s="75">
        <f t="shared" ref="U25" si="27">SUM(U15:U24)</f>
        <v>14175000</v>
      </c>
    </row>
    <row r="26" spans="2:21" x14ac:dyDescent="0.15">
      <c r="B26" s="100" t="s">
        <v>101</v>
      </c>
      <c r="C26" s="101" t="s">
        <v>73</v>
      </c>
      <c r="D26" s="23" t="s">
        <v>74</v>
      </c>
      <c r="E26" s="23">
        <f>'Substation SE Figures'!AJ11</f>
        <v>2226181.8181818179</v>
      </c>
      <c r="F26" s="56">
        <f>$E26</f>
        <v>2226181.8181818179</v>
      </c>
      <c r="G26" s="56">
        <f t="shared" ref="G26:M26" si="28">$E26</f>
        <v>2226181.8181818179</v>
      </c>
      <c r="H26" s="56">
        <f t="shared" si="28"/>
        <v>2226181.8181818179</v>
      </c>
      <c r="I26" s="56">
        <f t="shared" si="28"/>
        <v>2226181.8181818179</v>
      </c>
      <c r="J26" s="56">
        <f t="shared" si="28"/>
        <v>2226181.8181818179</v>
      </c>
      <c r="K26" s="56">
        <f t="shared" si="28"/>
        <v>2226181.8181818179</v>
      </c>
      <c r="L26" s="56">
        <f t="shared" si="28"/>
        <v>2226181.8181818179</v>
      </c>
      <c r="M26" s="56">
        <f t="shared" si="28"/>
        <v>2226181.8181818179</v>
      </c>
      <c r="N26" s="56"/>
      <c r="O26" s="56"/>
      <c r="P26" s="56"/>
      <c r="Q26" s="56"/>
      <c r="R26" s="56"/>
      <c r="S26" s="56"/>
      <c r="T26" s="56"/>
      <c r="U26" s="67"/>
    </row>
    <row r="27" spans="2:21" x14ac:dyDescent="0.15">
      <c r="B27" s="100"/>
      <c r="C27" s="101"/>
      <c r="D27" s="23" t="s">
        <v>75</v>
      </c>
      <c r="E27" s="23">
        <f>'Substation SE Figures'!AJ12</f>
        <v>505800</v>
      </c>
      <c r="F27" s="58"/>
      <c r="G27" s="58"/>
      <c r="H27" s="58"/>
      <c r="I27" s="58"/>
      <c r="J27" s="58"/>
      <c r="K27" s="58"/>
      <c r="L27" s="58"/>
      <c r="M27" s="58"/>
      <c r="N27" s="58">
        <f>$E27</f>
        <v>505800</v>
      </c>
      <c r="O27" s="58">
        <f t="shared" ref="O27:T27" si="29">$E27</f>
        <v>505800</v>
      </c>
      <c r="P27" s="58">
        <f t="shared" si="29"/>
        <v>505800</v>
      </c>
      <c r="Q27" s="58">
        <f t="shared" si="29"/>
        <v>505800</v>
      </c>
      <c r="R27" s="58">
        <f t="shared" si="29"/>
        <v>505800</v>
      </c>
      <c r="S27" s="58">
        <f t="shared" si="29"/>
        <v>505800</v>
      </c>
      <c r="T27" s="58">
        <f t="shared" si="29"/>
        <v>505800</v>
      </c>
      <c r="U27" s="74">
        <f>$E27</f>
        <v>505800</v>
      </c>
    </row>
    <row r="28" spans="2:21" x14ac:dyDescent="0.15">
      <c r="B28" s="100"/>
      <c r="C28" s="101" t="s">
        <v>77</v>
      </c>
      <c r="D28" s="23" t="s">
        <v>74</v>
      </c>
      <c r="E28" s="23">
        <f>'Substation SE Figures'!AJ13</f>
        <v>1447623.5294117648</v>
      </c>
      <c r="F28" s="68">
        <f>$E28</f>
        <v>1447623.5294117648</v>
      </c>
      <c r="G28" s="68">
        <f t="shared" ref="G28:I28" si="30">$E28</f>
        <v>1447623.5294117648</v>
      </c>
      <c r="H28" s="68">
        <f t="shared" si="30"/>
        <v>1447623.5294117648</v>
      </c>
      <c r="I28" s="68">
        <f t="shared" si="30"/>
        <v>1447623.5294117648</v>
      </c>
      <c r="J28" s="68"/>
      <c r="K28" s="68"/>
      <c r="L28" s="68"/>
      <c r="M28" s="68"/>
      <c r="N28" s="68">
        <f t="shared" ref="N28:Q28" si="31">$E28</f>
        <v>1447623.5294117648</v>
      </c>
      <c r="O28" s="68">
        <f t="shared" si="31"/>
        <v>1447623.5294117648</v>
      </c>
      <c r="P28" s="68">
        <f t="shared" si="31"/>
        <v>1447623.5294117648</v>
      </c>
      <c r="Q28" s="68">
        <f t="shared" si="31"/>
        <v>1447623.5294117648</v>
      </c>
      <c r="R28" s="68"/>
      <c r="S28" s="68"/>
      <c r="T28" s="68"/>
      <c r="U28" s="69"/>
    </row>
    <row r="29" spans="2:21" x14ac:dyDescent="0.15">
      <c r="B29" s="100"/>
      <c r="C29" s="101"/>
      <c r="D29" s="23" t="s">
        <v>75</v>
      </c>
      <c r="E29" s="23">
        <f>'Substation SE Figures'!AJ14</f>
        <v>2284000</v>
      </c>
      <c r="F29" s="58"/>
      <c r="G29" s="58"/>
      <c r="H29" s="58"/>
      <c r="I29" s="58"/>
      <c r="J29" s="58">
        <f>$E29</f>
        <v>2284000</v>
      </c>
      <c r="K29" s="58">
        <f t="shared" ref="K29:L29" si="32">$E29</f>
        <v>2284000</v>
      </c>
      <c r="L29" s="58">
        <f t="shared" si="32"/>
        <v>2284000</v>
      </c>
      <c r="M29" s="58">
        <f>$E29</f>
        <v>2284000</v>
      </c>
      <c r="N29" s="58"/>
      <c r="O29" s="58"/>
      <c r="P29" s="58"/>
      <c r="Q29" s="58"/>
      <c r="R29" s="58">
        <f>$E29</f>
        <v>2284000</v>
      </c>
      <c r="S29" s="58">
        <f>$E29</f>
        <v>2284000</v>
      </c>
      <c r="T29" s="58">
        <f>$E29</f>
        <v>2284000</v>
      </c>
      <c r="U29" s="74">
        <f>$E29</f>
        <v>2284000</v>
      </c>
    </row>
    <row r="30" spans="2:21" x14ac:dyDescent="0.15">
      <c r="B30" s="100"/>
      <c r="C30" s="101" t="s">
        <v>78</v>
      </c>
      <c r="D30" s="23" t="s">
        <v>74</v>
      </c>
      <c r="E30" s="23">
        <f>'Substation SE Figures'!AJ15</f>
        <v>1058000</v>
      </c>
      <c r="F30" s="68">
        <f>$E30</f>
        <v>1058000</v>
      </c>
      <c r="G30" s="68">
        <f>$E30</f>
        <v>1058000</v>
      </c>
      <c r="H30" s="68"/>
      <c r="I30" s="68"/>
      <c r="J30" s="68">
        <f>$E30</f>
        <v>1058000</v>
      </c>
      <c r="K30" s="68">
        <f>$E30</f>
        <v>1058000</v>
      </c>
      <c r="L30" s="68"/>
      <c r="M30" s="68"/>
      <c r="N30" s="68">
        <f>$E30</f>
        <v>1058000</v>
      </c>
      <c r="O30" s="68">
        <f>$E30</f>
        <v>1058000</v>
      </c>
      <c r="P30" s="68"/>
      <c r="Q30" s="68"/>
      <c r="R30" s="68">
        <f>$E30</f>
        <v>1058000</v>
      </c>
      <c r="S30" s="68">
        <f>$E30</f>
        <v>1058000</v>
      </c>
      <c r="T30" s="68"/>
      <c r="U30" s="69"/>
    </row>
    <row r="31" spans="2:21" x14ac:dyDescent="0.15">
      <c r="B31" s="100"/>
      <c r="C31" s="101"/>
      <c r="D31" s="23" t="s">
        <v>75</v>
      </c>
      <c r="E31" s="23">
        <f>'Substation SE Figures'!AJ16</f>
        <v>760500</v>
      </c>
      <c r="F31" s="58"/>
      <c r="G31" s="58"/>
      <c r="H31" s="58">
        <f>$E31</f>
        <v>760500</v>
      </c>
      <c r="I31" s="58">
        <f>$E31</f>
        <v>760500</v>
      </c>
      <c r="J31" s="58"/>
      <c r="K31" s="58"/>
      <c r="L31" s="58">
        <f>$E31</f>
        <v>760500</v>
      </c>
      <c r="M31" s="58">
        <f>$E31</f>
        <v>760500</v>
      </c>
      <c r="N31" s="58"/>
      <c r="O31" s="58"/>
      <c r="P31" s="58">
        <f>$E31</f>
        <v>760500</v>
      </c>
      <c r="Q31" s="58">
        <f>$E31</f>
        <v>760500</v>
      </c>
      <c r="R31" s="58"/>
      <c r="S31" s="58"/>
      <c r="T31" s="58">
        <f>$E31</f>
        <v>760500</v>
      </c>
      <c r="U31" s="74">
        <f>$E31</f>
        <v>760500</v>
      </c>
    </row>
    <row r="32" spans="2:21" x14ac:dyDescent="0.15">
      <c r="B32" s="100"/>
      <c r="C32" s="101" t="s">
        <v>79</v>
      </c>
      <c r="D32" s="23" t="s">
        <v>74</v>
      </c>
      <c r="E32" s="23">
        <f>'Substation SE Figures'!AJ17</f>
        <v>388000</v>
      </c>
      <c r="F32" s="68">
        <f>$E32</f>
        <v>388000</v>
      </c>
      <c r="G32" s="68">
        <f t="shared" ref="G32:M32" si="33">$E32</f>
        <v>388000</v>
      </c>
      <c r="H32" s="68">
        <f t="shared" si="33"/>
        <v>388000</v>
      </c>
      <c r="I32" s="68">
        <f t="shared" si="33"/>
        <v>388000</v>
      </c>
      <c r="J32" s="68">
        <f t="shared" si="33"/>
        <v>388000</v>
      </c>
      <c r="K32" s="68">
        <f t="shared" si="33"/>
        <v>388000</v>
      </c>
      <c r="L32" s="68">
        <f t="shared" si="33"/>
        <v>388000</v>
      </c>
      <c r="M32" s="68">
        <f t="shared" si="33"/>
        <v>388000</v>
      </c>
      <c r="N32" s="68"/>
      <c r="O32" s="68"/>
      <c r="P32" s="68"/>
      <c r="Q32" s="68"/>
      <c r="R32" s="68"/>
      <c r="S32" s="68"/>
      <c r="T32" s="68"/>
      <c r="U32" s="69"/>
    </row>
    <row r="33" spans="2:21" x14ac:dyDescent="0.15">
      <c r="B33" s="100"/>
      <c r="C33" s="101"/>
      <c r="D33" s="23" t="s">
        <v>75</v>
      </c>
      <c r="E33" s="23">
        <f>'Substation SE Figures'!AJ18</f>
        <v>65500</v>
      </c>
      <c r="F33" s="58"/>
      <c r="G33" s="58"/>
      <c r="H33" s="58"/>
      <c r="I33" s="58"/>
      <c r="J33" s="58"/>
      <c r="K33" s="58"/>
      <c r="L33" s="58"/>
      <c r="M33" s="58"/>
      <c r="N33" s="58">
        <f>$E33</f>
        <v>65500</v>
      </c>
      <c r="O33" s="58">
        <f t="shared" ref="O33:U33" si="34">$E33</f>
        <v>65500</v>
      </c>
      <c r="P33" s="58">
        <f t="shared" si="34"/>
        <v>65500</v>
      </c>
      <c r="Q33" s="58">
        <f t="shared" si="34"/>
        <v>65500</v>
      </c>
      <c r="R33" s="58">
        <f t="shared" si="34"/>
        <v>65500</v>
      </c>
      <c r="S33" s="58">
        <f t="shared" si="34"/>
        <v>65500</v>
      </c>
      <c r="T33" s="58">
        <f t="shared" si="34"/>
        <v>65500</v>
      </c>
      <c r="U33" s="74">
        <f t="shared" si="34"/>
        <v>65500</v>
      </c>
    </row>
    <row r="34" spans="2:21" x14ac:dyDescent="0.15">
      <c r="B34" s="100"/>
      <c r="C34" s="101" t="s">
        <v>80</v>
      </c>
      <c r="D34" s="23" t="s">
        <v>74</v>
      </c>
      <c r="E34" s="23">
        <f>'Substation SE Figures'!AJ19</f>
        <v>326400</v>
      </c>
      <c r="F34" s="68">
        <f>$E34</f>
        <v>326400</v>
      </c>
      <c r="G34" s="68"/>
      <c r="H34" s="68">
        <f>$E34</f>
        <v>326400</v>
      </c>
      <c r="I34" s="68"/>
      <c r="J34" s="68">
        <f>$E34</f>
        <v>326400</v>
      </c>
      <c r="K34" s="68"/>
      <c r="L34" s="68">
        <f>$E34</f>
        <v>326400</v>
      </c>
      <c r="M34" s="68"/>
      <c r="N34" s="68">
        <f>$E34</f>
        <v>326400</v>
      </c>
      <c r="O34" s="68"/>
      <c r="P34" s="68">
        <f>$E34</f>
        <v>326400</v>
      </c>
      <c r="Q34" s="68"/>
      <c r="R34" s="68">
        <f>$E34</f>
        <v>326400</v>
      </c>
      <c r="S34" s="68"/>
      <c r="T34" s="68">
        <f>$E34</f>
        <v>326400</v>
      </c>
      <c r="U34" s="69"/>
    </row>
    <row r="35" spans="2:21" x14ac:dyDescent="0.15">
      <c r="B35" s="100"/>
      <c r="C35" s="101"/>
      <c r="D35" s="23" t="s">
        <v>75</v>
      </c>
      <c r="E35" s="23">
        <f>'Substation SE Figures'!AJ20</f>
        <v>178666.66666666669</v>
      </c>
      <c r="F35" s="58"/>
      <c r="G35" s="58">
        <f>$E35</f>
        <v>178666.66666666669</v>
      </c>
      <c r="H35" s="58"/>
      <c r="I35" s="58">
        <f>$E35</f>
        <v>178666.66666666669</v>
      </c>
      <c r="J35" s="58"/>
      <c r="K35" s="58">
        <f>$E35</f>
        <v>178666.66666666669</v>
      </c>
      <c r="L35" s="58"/>
      <c r="M35" s="58">
        <f>$E35</f>
        <v>178666.66666666669</v>
      </c>
      <c r="N35" s="58"/>
      <c r="O35" s="58">
        <f>$E35</f>
        <v>178666.66666666669</v>
      </c>
      <c r="P35" s="58"/>
      <c r="Q35" s="58">
        <f>$E35</f>
        <v>178666.66666666669</v>
      </c>
      <c r="R35" s="58"/>
      <c r="S35" s="58">
        <f>$E35</f>
        <v>178666.66666666669</v>
      </c>
      <c r="T35" s="58"/>
      <c r="U35" s="74">
        <f>$E35</f>
        <v>178666.66666666669</v>
      </c>
    </row>
    <row r="36" spans="2:21" x14ac:dyDescent="0.15">
      <c r="B36" s="98" t="s">
        <v>103</v>
      </c>
      <c r="C36" s="98"/>
      <c r="D36" s="98"/>
      <c r="E36" s="98"/>
      <c r="F36" s="23">
        <f>SUM(F26:F35)</f>
        <v>5446205.3475935832</v>
      </c>
      <c r="G36" s="23">
        <f>SUM(G26:G35)</f>
        <v>5298472.0142602501</v>
      </c>
      <c r="H36" s="70">
        <f t="shared" ref="H36" si="35">SUM(H26:H35)</f>
        <v>5148705.3475935832</v>
      </c>
      <c r="I36" s="70">
        <f t="shared" ref="I36" si="36">SUM(I26:I35)</f>
        <v>5000972.0142602501</v>
      </c>
      <c r="J36" s="23">
        <f t="shared" ref="J36" si="37">SUM(J26:J35)</f>
        <v>6282581.8181818184</v>
      </c>
      <c r="K36" s="23">
        <f t="shared" ref="K36" si="38">SUM(K26:K35)</f>
        <v>6134848.4848484853</v>
      </c>
      <c r="L36" s="23">
        <f t="shared" ref="L36" si="39">SUM(L26:L35)</f>
        <v>5985081.8181818184</v>
      </c>
      <c r="M36" s="23">
        <f t="shared" ref="M36" si="40">SUM(M26:M35)</f>
        <v>5837348.4848484853</v>
      </c>
      <c r="N36" s="70">
        <f t="shared" ref="N36" si="41">SUM(N26:N35)</f>
        <v>3403323.5294117648</v>
      </c>
      <c r="O36" s="70">
        <f t="shared" ref="O36" si="42">SUM(O26:O35)</f>
        <v>3255590.1960784313</v>
      </c>
      <c r="P36" s="70">
        <f t="shared" ref="P36" si="43">SUM(P26:P35)</f>
        <v>3105823.5294117648</v>
      </c>
      <c r="Q36" s="70">
        <f t="shared" ref="Q36" si="44">SUM(Q26:Q35)</f>
        <v>2958090.1960784313</v>
      </c>
      <c r="R36" s="70">
        <f t="shared" ref="R36" si="45">SUM(R26:R35)</f>
        <v>4239700</v>
      </c>
      <c r="S36" s="70">
        <f t="shared" ref="S36" si="46">SUM(S26:S35)</f>
        <v>4091966.6666666665</v>
      </c>
      <c r="T36" s="70">
        <f t="shared" ref="T36" si="47">SUM(T26:T35)</f>
        <v>3942200</v>
      </c>
      <c r="U36" s="76">
        <f t="shared" ref="U36" si="48">SUM(U26:U35)</f>
        <v>3794466.6666666665</v>
      </c>
    </row>
    <row r="37" spans="2:21" ht="9" customHeight="1" x14ac:dyDescent="0.15"/>
    <row r="38" spans="2:21" ht="33" customHeight="1" x14ac:dyDescent="0.15">
      <c r="B38" s="99" t="s">
        <v>102</v>
      </c>
      <c r="C38" s="99"/>
      <c r="D38" s="99"/>
      <c r="E38" s="99"/>
      <c r="F38" s="71">
        <f>SUM(F36+F25)</f>
        <v>15621205.347593583</v>
      </c>
      <c r="G38" s="71">
        <f t="shared" ref="G38:U38" si="49">SUM(G36+G25)</f>
        <v>16223472.014260251</v>
      </c>
      <c r="H38" s="71">
        <f t="shared" si="49"/>
        <v>15623705.347593583</v>
      </c>
      <c r="I38" s="71">
        <f t="shared" si="49"/>
        <v>16225972.014260251</v>
      </c>
      <c r="J38" s="71">
        <f t="shared" si="49"/>
        <v>16957581.81818182</v>
      </c>
      <c r="K38" s="71">
        <f t="shared" si="49"/>
        <v>17559848.484848484</v>
      </c>
      <c r="L38" s="71">
        <f t="shared" si="49"/>
        <v>16960081.81818182</v>
      </c>
      <c r="M38" s="71">
        <f t="shared" si="49"/>
        <v>17562348.484848484</v>
      </c>
      <c r="N38" s="71">
        <f t="shared" si="49"/>
        <v>16028323.529411765</v>
      </c>
      <c r="O38" s="71">
        <f t="shared" si="49"/>
        <v>16630590.196078431</v>
      </c>
      <c r="P38" s="71">
        <f t="shared" si="49"/>
        <v>16030823.529411765</v>
      </c>
      <c r="Q38" s="71">
        <f t="shared" si="49"/>
        <v>16633090.196078431</v>
      </c>
      <c r="R38" s="71">
        <f t="shared" si="49"/>
        <v>17364700</v>
      </c>
      <c r="S38" s="71">
        <f t="shared" si="49"/>
        <v>17966966.666666668</v>
      </c>
      <c r="T38" s="71">
        <f t="shared" si="49"/>
        <v>17367200</v>
      </c>
      <c r="U38" s="71">
        <f t="shared" si="49"/>
        <v>17969466.666666668</v>
      </c>
    </row>
  </sheetData>
  <mergeCells count="25">
    <mergeCell ref="B15:B24"/>
    <mergeCell ref="E2:E3"/>
    <mergeCell ref="C2:D3"/>
    <mergeCell ref="F2:U2"/>
    <mergeCell ref="B2:B13"/>
    <mergeCell ref="B14:E14"/>
    <mergeCell ref="C4:C5"/>
    <mergeCell ref="C12:C13"/>
    <mergeCell ref="C10:C11"/>
    <mergeCell ref="C8:C9"/>
    <mergeCell ref="C6:C7"/>
    <mergeCell ref="C15:C16"/>
    <mergeCell ref="C17:C18"/>
    <mergeCell ref="C19:C20"/>
    <mergeCell ref="C21:C22"/>
    <mergeCell ref="C23:C24"/>
    <mergeCell ref="B36:E36"/>
    <mergeCell ref="B38:E38"/>
    <mergeCell ref="B25:E25"/>
    <mergeCell ref="B26:B35"/>
    <mergeCell ref="C26:C27"/>
    <mergeCell ref="C28:C29"/>
    <mergeCell ref="C30:C31"/>
    <mergeCell ref="C32:C33"/>
    <mergeCell ref="C34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Substation SE Figures</vt:lpstr>
      <vt:lpstr>Permutations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Pugeat, Alexander</dc:creator>
  <cp:lastModifiedBy>Pugeat, Alexander</cp:lastModifiedBy>
  <dcterms:created xsi:type="dcterms:W3CDTF">2024-01-20T14:35:22Z</dcterms:created>
  <dcterms:modified xsi:type="dcterms:W3CDTF">2024-01-22T13:57:55Z</dcterms:modified>
</cp:coreProperties>
</file>